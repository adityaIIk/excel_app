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showInkAnnotation="0" codeName="ThisWorkbook"/>
  <bookViews>
    <workbookView xWindow="0" yWindow="0" windowWidth="19200" windowHeight="12750" tabRatio="833" firstSheet="3" activeTab="3"/>
  </bookViews>
  <sheets>
    <sheet name="Instruction Sheet" sheetId="1" r:id="rId1"/>
    <sheet name="Checlikst" sheetId="11" r:id="rId2"/>
    <sheet name="Delivery Order" sheetId="13" r:id="rId3"/>
    <sheet name="Data Entry" sheetId="2" r:id="rId4"/>
    <sheet name="Status Report" sheetId="3" r:id="rId5"/>
    <sheet name="Processing Sheet" sheetId="5" r:id="rId6"/>
    <sheet name="Surveyor Fee" sheetId="4" r:id="rId7"/>
    <sheet name="Main Survey Report" sheetId="6" r:id="rId8"/>
    <sheet name="Assessment Sheet" sheetId="7" r:id="rId9"/>
    <sheet name="2022- Maruti Painting Dashboard" sheetId="14" r:id="rId10"/>
    <sheet name="Re-inspection Report" sheetId="8" r:id="rId11"/>
    <sheet name="Surveyor's Master" sheetId="9" r:id="rId12"/>
  </sheets>
  <definedNames>
    <definedName name="_xlnm.Print_Area" localSheetId="9">'2022- Maruti Painting Dashboard'!$A$1:$I$40</definedName>
    <definedName name="_xlnm.Print_Area" localSheetId="8">'Assessment Sheet'!$A$1:$J$187</definedName>
    <definedName name="_xlnm.Print_Area" localSheetId="2">'Delivery Order'!$A$1:$G$140</definedName>
    <definedName name="_xlnm.Print_Area" localSheetId="7">'Main Survey Report'!$A$1:$E$123</definedName>
    <definedName name="_xlnm.Print_Area" localSheetId="5">'Processing Sheet'!$A$1:$J$73</definedName>
    <definedName name="_xlnm.Print_Area" localSheetId="10">'Re-inspection Report'!$A$1:$F$131</definedName>
    <definedName name="_xlnm.Print_Area" localSheetId="4">'Status Report'!$A$1:$E$41</definedName>
    <definedName name="_xlnm.Print_Area" localSheetId="6">'Surveyor Fee'!$A$1:$E$50</definedName>
    <definedName name="Z_90D8D907_8142_40B5_8083_592E26272F1C_.wvu.PrintArea" localSheetId="7" hidden="1">'Main Survey Report'!$A$1:$E$122</definedName>
    <definedName name="Z_90D8D907_8142_40B5_8083_592E26272F1C_.wvu.PrintArea" localSheetId="5" hidden="1">'Processing Sheet'!$A$1:$H$63</definedName>
  </definedNames>
  <calcPr calcId="124519"/>
  <customWorkbookViews>
    <customWorkbookView name="Rajiv Ranjan - Personal View" guid="{90D8D907-8142-40B5-8083-592E26272F1C}" mergeInterval="0" personalView="1" maximized="1" windowWidth="1362" windowHeight="543" tabRatio="969" activeSheetId="2"/>
  </customWorkbookViews>
</workbook>
</file>

<file path=xl/calcChain.xml><?xml version="1.0" encoding="utf-8"?>
<calcChain xmlns="http://schemas.openxmlformats.org/spreadsheetml/2006/main">
  <c r="A108" i="6"/>
  <c r="A107"/>
  <c r="A106"/>
  <c r="A105"/>
  <c r="A104"/>
  <c r="A103"/>
  <c r="A102"/>
  <c r="A101"/>
  <c r="A100"/>
  <c r="A99"/>
  <c r="A98"/>
  <c r="A97"/>
  <c r="A96"/>
  <c r="A95"/>
  <c r="A94"/>
  <c r="A93"/>
  <c r="A92"/>
  <c r="A91"/>
  <c r="B105" i="2" l="1"/>
  <c r="E16" i="4"/>
  <c r="E21" l="1"/>
  <c r="E17" l="1"/>
  <c r="A90" i="6" l="1"/>
  <c r="V44" i="14" l="1"/>
  <c r="C69"/>
  <c r="C88" l="1"/>
  <c r="F25" l="1"/>
  <c r="F24"/>
  <c r="F23"/>
  <c r="F22"/>
  <c r="G25"/>
  <c r="G24"/>
  <c r="G23"/>
  <c r="G22"/>
  <c r="G8"/>
  <c r="G7"/>
  <c r="I25" l="1"/>
  <c r="H25"/>
  <c r="I24"/>
  <c r="H24"/>
  <c r="I23"/>
  <c r="H23"/>
  <c r="I22"/>
  <c r="H22"/>
  <c r="D2" l="1"/>
  <c r="H115"/>
  <c r="H114"/>
  <c r="H113"/>
  <c r="H112"/>
  <c r="A271"/>
  <c r="A272"/>
  <c r="A273"/>
  <c r="A274"/>
  <c r="A275"/>
  <c r="A276"/>
  <c r="A277"/>
  <c r="A278"/>
  <c r="A270"/>
  <c r="A258"/>
  <c r="A259"/>
  <c r="A260"/>
  <c r="A261"/>
  <c r="A262"/>
  <c r="A263"/>
  <c r="A264"/>
  <c r="A265"/>
  <c r="A257"/>
  <c r="A245"/>
  <c r="A246"/>
  <c r="A247"/>
  <c r="A248"/>
  <c r="A249"/>
  <c r="A250"/>
  <c r="A251"/>
  <c r="A252"/>
  <c r="A244"/>
  <c r="A232"/>
  <c r="A233"/>
  <c r="A234"/>
  <c r="A235"/>
  <c r="A236"/>
  <c r="A237"/>
  <c r="A238"/>
  <c r="A239"/>
  <c r="A231"/>
  <c r="A219"/>
  <c r="A220"/>
  <c r="A221"/>
  <c r="A222"/>
  <c r="A223"/>
  <c r="A224"/>
  <c r="A225"/>
  <c r="A226"/>
  <c r="A218"/>
  <c r="A206"/>
  <c r="A207"/>
  <c r="A208"/>
  <c r="A209"/>
  <c r="A210"/>
  <c r="A211"/>
  <c r="A212"/>
  <c r="A213"/>
  <c r="A205"/>
  <c r="A193"/>
  <c r="A194"/>
  <c r="A195"/>
  <c r="A196"/>
  <c r="A197"/>
  <c r="A198"/>
  <c r="A199"/>
  <c r="A200"/>
  <c r="A192"/>
  <c r="A187"/>
  <c r="A186"/>
  <c r="A185"/>
  <c r="A184"/>
  <c r="A183"/>
  <c r="A182"/>
  <c r="A181"/>
  <c r="A180"/>
  <c r="A179"/>
  <c r="A174"/>
  <c r="A173"/>
  <c r="A172"/>
  <c r="A171"/>
  <c r="A170"/>
  <c r="A169"/>
  <c r="A168"/>
  <c r="A167"/>
  <c r="A166"/>
  <c r="A161"/>
  <c r="A160"/>
  <c r="A159"/>
  <c r="A158"/>
  <c r="A157"/>
  <c r="A156"/>
  <c r="A155"/>
  <c r="A154"/>
  <c r="A153"/>
  <c r="A148"/>
  <c r="A147"/>
  <c r="A146"/>
  <c r="A145"/>
  <c r="A144"/>
  <c r="A143"/>
  <c r="A142"/>
  <c r="A141"/>
  <c r="A140"/>
  <c r="A135"/>
  <c r="A134"/>
  <c r="A133"/>
  <c r="A132"/>
  <c r="A131"/>
  <c r="A130"/>
  <c r="A129"/>
  <c r="A128"/>
  <c r="A127"/>
  <c r="I72"/>
  <c r="H121"/>
  <c r="I121" s="1"/>
  <c r="B121"/>
  <c r="D121" s="1"/>
  <c r="F121" s="1"/>
  <c r="H120"/>
  <c r="I120" s="1"/>
  <c r="B120"/>
  <c r="D120" s="1"/>
  <c r="F120" s="1"/>
  <c r="H119"/>
  <c r="I119" s="1"/>
  <c r="G29" s="1"/>
  <c r="B119"/>
  <c r="D119" s="1"/>
  <c r="F119" s="1"/>
  <c r="H118"/>
  <c r="I118" s="1"/>
  <c r="G28" s="1"/>
  <c r="B118"/>
  <c r="D118" s="1"/>
  <c r="F118" s="1"/>
  <c r="H117"/>
  <c r="I117" s="1"/>
  <c r="G27" s="1"/>
  <c r="B117"/>
  <c r="D117" s="1"/>
  <c r="F117" s="1"/>
  <c r="C115"/>
  <c r="G115" s="1"/>
  <c r="B115"/>
  <c r="D115" s="1"/>
  <c r="C114"/>
  <c r="G114" s="1"/>
  <c r="B114"/>
  <c r="D114" s="1"/>
  <c r="C113"/>
  <c r="G113" s="1"/>
  <c r="B113"/>
  <c r="D113" s="1"/>
  <c r="C112"/>
  <c r="G112" s="1"/>
  <c r="B112"/>
  <c r="D112" s="1"/>
  <c r="C111"/>
  <c r="B111"/>
  <c r="D111" s="1"/>
  <c r="C110"/>
  <c r="B110"/>
  <c r="D110" s="1"/>
  <c r="C109"/>
  <c r="B109"/>
  <c r="D109" s="1"/>
  <c r="C108"/>
  <c r="B108"/>
  <c r="D108" s="1"/>
  <c r="C107"/>
  <c r="B107"/>
  <c r="D107" s="1"/>
  <c r="C106"/>
  <c r="B106"/>
  <c r="D106" s="1"/>
  <c r="C105"/>
  <c r="B105"/>
  <c r="D105" s="1"/>
  <c r="C104"/>
  <c r="B104"/>
  <c r="D104" s="1"/>
  <c r="C103"/>
  <c r="B103"/>
  <c r="D103" s="1"/>
  <c r="C102"/>
  <c r="B102"/>
  <c r="D97"/>
  <c r="D96"/>
  <c r="D95"/>
  <c r="D94"/>
  <c r="D93"/>
  <c r="D92"/>
  <c r="C83"/>
  <c r="C82"/>
  <c r="C80"/>
  <c r="C81" s="1"/>
  <c r="I58"/>
  <c r="C89" s="1"/>
  <c r="I31"/>
  <c r="H31"/>
  <c r="G31"/>
  <c r="I30"/>
  <c r="H30"/>
  <c r="G30"/>
  <c r="D25"/>
  <c r="D24"/>
  <c r="D23"/>
  <c r="D22"/>
  <c r="I11"/>
  <c r="H11"/>
  <c r="G11"/>
  <c r="F11"/>
  <c r="C11"/>
  <c r="B11"/>
  <c r="G10"/>
  <c r="C10"/>
  <c r="C85" s="1"/>
  <c r="F93" s="1"/>
  <c r="G9"/>
  <c r="C9"/>
  <c r="C84" s="1"/>
  <c r="G6"/>
  <c r="V49" l="1"/>
  <c r="V45"/>
  <c r="F20"/>
  <c r="H110" s="1"/>
  <c r="F19"/>
  <c r="H109" s="1"/>
  <c r="G111"/>
  <c r="D21" s="1"/>
  <c r="G109"/>
  <c r="L94"/>
  <c r="L96"/>
  <c r="F94"/>
  <c r="F96"/>
  <c r="G94"/>
  <c r="G96"/>
  <c r="H94"/>
  <c r="H96"/>
  <c r="D102"/>
  <c r="F102" s="1"/>
  <c r="U54"/>
  <c r="Q54"/>
  <c r="M54"/>
  <c r="I54"/>
  <c r="E54"/>
  <c r="V53"/>
  <c r="R53"/>
  <c r="N53"/>
  <c r="J53"/>
  <c r="F53"/>
  <c r="W52"/>
  <c r="S52"/>
  <c r="O52"/>
  <c r="K52"/>
  <c r="G52"/>
  <c r="X50"/>
  <c r="T50"/>
  <c r="P50"/>
  <c r="L50"/>
  <c r="H50"/>
  <c r="D50"/>
  <c r="U49"/>
  <c r="Q49"/>
  <c r="M49"/>
  <c r="I49"/>
  <c r="E49"/>
  <c r="V48"/>
  <c r="V51" s="1"/>
  <c r="R48"/>
  <c r="R51" s="1"/>
  <c r="N48"/>
  <c r="N51" s="1"/>
  <c r="J48"/>
  <c r="J51" s="1"/>
  <c r="F48"/>
  <c r="F51" s="1"/>
  <c r="W47"/>
  <c r="S47"/>
  <c r="O47"/>
  <c r="K47"/>
  <c r="G47"/>
  <c r="X46"/>
  <c r="T46"/>
  <c r="P46"/>
  <c r="L46"/>
  <c r="H46"/>
  <c r="D46"/>
  <c r="U45"/>
  <c r="Q45"/>
  <c r="M45"/>
  <c r="I45"/>
  <c r="E45"/>
  <c r="X54"/>
  <c r="T54"/>
  <c r="P54"/>
  <c r="L54"/>
  <c r="H54"/>
  <c r="D54"/>
  <c r="U53"/>
  <c r="Q53"/>
  <c r="M53"/>
  <c r="I53"/>
  <c r="E53"/>
  <c r="V52"/>
  <c r="R52"/>
  <c r="N52"/>
  <c r="J52"/>
  <c r="F52"/>
  <c r="W50"/>
  <c r="S50"/>
  <c r="O50"/>
  <c r="K50"/>
  <c r="G50"/>
  <c r="X49"/>
  <c r="T49"/>
  <c r="P49"/>
  <c r="L49"/>
  <c r="H49"/>
  <c r="D49"/>
  <c r="U48"/>
  <c r="U51" s="1"/>
  <c r="Q48"/>
  <c r="Q51" s="1"/>
  <c r="M48"/>
  <c r="M51" s="1"/>
  <c r="I48"/>
  <c r="I51" s="1"/>
  <c r="E48"/>
  <c r="E51" s="1"/>
  <c r="V47"/>
  <c r="R47"/>
  <c r="N47"/>
  <c r="J47"/>
  <c r="F21" s="1"/>
  <c r="H111" s="1"/>
  <c r="F47"/>
  <c r="W46"/>
  <c r="S54"/>
  <c r="K54"/>
  <c r="X53"/>
  <c r="P53"/>
  <c r="H53"/>
  <c r="U52"/>
  <c r="M52"/>
  <c r="E52"/>
  <c r="R50"/>
  <c r="J50"/>
  <c r="W49"/>
  <c r="O49"/>
  <c r="G49"/>
  <c r="T48"/>
  <c r="T51" s="1"/>
  <c r="L48"/>
  <c r="L51" s="1"/>
  <c r="D48"/>
  <c r="D51" s="1"/>
  <c r="Q47"/>
  <c r="I47"/>
  <c r="V46"/>
  <c r="Q46"/>
  <c r="K46"/>
  <c r="F46"/>
  <c r="P45"/>
  <c r="K45"/>
  <c r="F45"/>
  <c r="R54"/>
  <c r="J54"/>
  <c r="W53"/>
  <c r="O53"/>
  <c r="G53"/>
  <c r="T52"/>
  <c r="L52"/>
  <c r="D52"/>
  <c r="Q50"/>
  <c r="I50"/>
  <c r="N49"/>
  <c r="F49"/>
  <c r="S48"/>
  <c r="S51" s="1"/>
  <c r="K48"/>
  <c r="K51" s="1"/>
  <c r="X47"/>
  <c r="P47"/>
  <c r="H47"/>
  <c r="U46"/>
  <c r="O46"/>
  <c r="J46"/>
  <c r="E46"/>
  <c r="T45"/>
  <c r="O45"/>
  <c r="J45"/>
  <c r="D45"/>
  <c r="W54"/>
  <c r="O54"/>
  <c r="G54"/>
  <c r="T53"/>
  <c r="L53"/>
  <c r="D53"/>
  <c r="Q52"/>
  <c r="I52"/>
  <c r="V50"/>
  <c r="N50"/>
  <c r="F50"/>
  <c r="S49"/>
  <c r="K49"/>
  <c r="X48"/>
  <c r="X51" s="1"/>
  <c r="P48"/>
  <c r="P51" s="1"/>
  <c r="H48"/>
  <c r="H51" s="1"/>
  <c r="U47"/>
  <c r="M47"/>
  <c r="E47"/>
  <c r="S46"/>
  <c r="N46"/>
  <c r="I46"/>
  <c r="X45"/>
  <c r="S45"/>
  <c r="N45"/>
  <c r="H45"/>
  <c r="V54"/>
  <c r="N54"/>
  <c r="F54"/>
  <c r="S53"/>
  <c r="K53"/>
  <c r="X52"/>
  <c r="P52"/>
  <c r="H52"/>
  <c r="R49"/>
  <c r="G48"/>
  <c r="G51" s="1"/>
  <c r="R46"/>
  <c r="R45"/>
  <c r="U50"/>
  <c r="J49"/>
  <c r="T47"/>
  <c r="M46"/>
  <c r="L45"/>
  <c r="M50"/>
  <c r="W48"/>
  <c r="W51" s="1"/>
  <c r="L47"/>
  <c r="G46"/>
  <c r="G45"/>
  <c r="E50"/>
  <c r="O48"/>
  <c r="O51" s="1"/>
  <c r="D47"/>
  <c r="W45"/>
  <c r="K121"/>
  <c r="F105"/>
  <c r="F109"/>
  <c r="F113"/>
  <c r="F115"/>
  <c r="F107"/>
  <c r="C47"/>
  <c r="C52"/>
  <c r="C46"/>
  <c r="C53"/>
  <c r="C45"/>
  <c r="C49"/>
  <c r="C48"/>
  <c r="C51" s="1"/>
  <c r="C54"/>
  <c r="C50"/>
  <c r="B43"/>
  <c r="I114"/>
  <c r="K114" s="1"/>
  <c r="I115"/>
  <c r="K115" s="1"/>
  <c r="F103"/>
  <c r="F111"/>
  <c r="I113"/>
  <c r="J113" s="1"/>
  <c r="J121"/>
  <c r="F104"/>
  <c r="F108"/>
  <c r="G108" s="1"/>
  <c r="D18" s="1"/>
  <c r="F112"/>
  <c r="K120"/>
  <c r="K118"/>
  <c r="I28" s="1"/>
  <c r="J117"/>
  <c r="H27" s="1"/>
  <c r="I112"/>
  <c r="K119"/>
  <c r="I29" s="1"/>
  <c r="J119"/>
  <c r="H29" s="1"/>
  <c r="J118"/>
  <c r="H28" s="1"/>
  <c r="F106"/>
  <c r="F110"/>
  <c r="G110" s="1"/>
  <c r="D20" s="1"/>
  <c r="F114"/>
  <c r="K117"/>
  <c r="I27" s="1"/>
  <c r="J120"/>
  <c r="A64" i="6"/>
  <c r="E72"/>
  <c r="D72"/>
  <c r="A68"/>
  <c r="A67"/>
  <c r="A65"/>
  <c r="E25"/>
  <c r="A36" i="11"/>
  <c r="B29"/>
  <c r="A4" i="13"/>
  <c r="C19" i="8"/>
  <c r="C20"/>
  <c r="C21"/>
  <c r="C22"/>
  <c r="C23"/>
  <c r="C24"/>
  <c r="C25"/>
  <c r="C26"/>
  <c r="C27"/>
  <c r="C28"/>
  <c r="C29"/>
  <c r="C30"/>
  <c r="C31"/>
  <c r="C32"/>
  <c r="C33"/>
  <c r="C34"/>
  <c r="C35"/>
  <c r="C36"/>
  <c r="C37"/>
  <c r="C38"/>
  <c r="C39"/>
  <c r="C40"/>
  <c r="C41"/>
  <c r="C42"/>
  <c r="C43"/>
  <c r="C44"/>
  <c r="C45"/>
  <c r="C46"/>
  <c r="C47"/>
  <c r="C48"/>
  <c r="C49"/>
  <c r="C50"/>
  <c r="C51"/>
  <c r="C52"/>
  <c r="C53"/>
  <c r="C54"/>
  <c r="C55"/>
  <c r="C56"/>
  <c r="C57"/>
  <c r="C58"/>
  <c r="C59"/>
  <c r="C60"/>
  <c r="C61"/>
  <c r="C62"/>
  <c r="C63"/>
  <c r="C64"/>
  <c r="C65"/>
  <c r="C66"/>
  <c r="C67"/>
  <c r="C68"/>
  <c r="C69"/>
  <c r="C70"/>
  <c r="C71"/>
  <c r="C72"/>
  <c r="C73"/>
  <c r="C74"/>
  <c r="C75"/>
  <c r="C76"/>
  <c r="C77"/>
  <c r="C78"/>
  <c r="C79"/>
  <c r="C80"/>
  <c r="C81"/>
  <c r="C82"/>
  <c r="C83"/>
  <c r="C84"/>
  <c r="C85"/>
  <c r="C86"/>
  <c r="C87"/>
  <c r="C88"/>
  <c r="C89"/>
  <c r="C90"/>
  <c r="C91"/>
  <c r="C92"/>
  <c r="C93"/>
  <c r="C94"/>
  <c r="C95"/>
  <c r="C96"/>
  <c r="C97"/>
  <c r="C98"/>
  <c r="C99"/>
  <c r="C100"/>
  <c r="C101"/>
  <c r="C102"/>
  <c r="C103"/>
  <c r="C104"/>
  <c r="C105"/>
  <c r="C106"/>
  <c r="C107"/>
  <c r="C108"/>
  <c r="C109"/>
  <c r="C110"/>
  <c r="C111"/>
  <c r="C112"/>
  <c r="C113"/>
  <c r="C114"/>
  <c r="C115"/>
  <c r="C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62"/>
  <c r="B63"/>
  <c r="B64"/>
  <c r="B65"/>
  <c r="B66"/>
  <c r="B67"/>
  <c r="B68"/>
  <c r="B69"/>
  <c r="B70"/>
  <c r="B71"/>
  <c r="B72"/>
  <c r="B73"/>
  <c r="B74"/>
  <c r="B75"/>
  <c r="B76"/>
  <c r="B77"/>
  <c r="B78"/>
  <c r="B79"/>
  <c r="B80"/>
  <c r="B81"/>
  <c r="B82"/>
  <c r="B83"/>
  <c r="B84"/>
  <c r="B85"/>
  <c r="B86"/>
  <c r="B87"/>
  <c r="B88"/>
  <c r="B89"/>
  <c r="B90"/>
  <c r="B91"/>
  <c r="B92"/>
  <c r="B93"/>
  <c r="B94"/>
  <c r="B95"/>
  <c r="B96"/>
  <c r="B97"/>
  <c r="B98"/>
  <c r="B99"/>
  <c r="B100"/>
  <c r="B101"/>
  <c r="B102"/>
  <c r="B103"/>
  <c r="B104"/>
  <c r="B105"/>
  <c r="B106"/>
  <c r="B107"/>
  <c r="B108"/>
  <c r="B109"/>
  <c r="B110"/>
  <c r="B111"/>
  <c r="B112"/>
  <c r="B113"/>
  <c r="B114"/>
  <c r="B115"/>
  <c r="B18"/>
  <c r="G20" i="14" l="1"/>
  <c r="H20" s="1"/>
  <c r="I20" s="1"/>
  <c r="G21"/>
  <c r="H21" s="1"/>
  <c r="I21" s="1"/>
  <c r="G107"/>
  <c r="D17" s="1"/>
  <c r="I110"/>
  <c r="K110" s="1"/>
  <c r="I111"/>
  <c r="K111" s="1"/>
  <c r="G106"/>
  <c r="D16" s="1"/>
  <c r="G105"/>
  <c r="D15" s="1"/>
  <c r="I109"/>
  <c r="K109" s="1"/>
  <c r="D19"/>
  <c r="G19" s="1"/>
  <c r="F13"/>
  <c r="G103"/>
  <c r="D13" s="1"/>
  <c r="F15"/>
  <c r="F12"/>
  <c r="F18"/>
  <c r="H108" s="1"/>
  <c r="I108" s="1"/>
  <c r="K108" s="1"/>
  <c r="F16"/>
  <c r="H106" s="1"/>
  <c r="F17"/>
  <c r="F14"/>
  <c r="H104" s="1"/>
  <c r="G104"/>
  <c r="D14" s="1"/>
  <c r="G102"/>
  <c r="D12" s="1"/>
  <c r="J114"/>
  <c r="K113"/>
  <c r="J115"/>
  <c r="K112"/>
  <c r="J112"/>
  <c r="B80" i="7"/>
  <c r="B79"/>
  <c r="G194"/>
  <c r="G199"/>
  <c r="G195"/>
  <c r="G193"/>
  <c r="H193" s="1"/>
  <c r="G192"/>
  <c r="H192" s="1"/>
  <c r="G191"/>
  <c r="D35" i="5"/>
  <c r="D42"/>
  <c r="D41"/>
  <c r="D40"/>
  <c r="D39"/>
  <c r="D38"/>
  <c r="C139" i="13"/>
  <c r="D71"/>
  <c r="D70"/>
  <c r="D69"/>
  <c r="D68"/>
  <c r="D67"/>
  <c r="D66"/>
  <c r="D65"/>
  <c r="D64"/>
  <c r="D63"/>
  <c r="D62"/>
  <c r="D61"/>
  <c r="D60"/>
  <c r="D59"/>
  <c r="D58"/>
  <c r="D57"/>
  <c r="D56"/>
  <c r="D55"/>
  <c r="D54"/>
  <c r="D53"/>
  <c r="D52"/>
  <c r="D51"/>
  <c r="D50"/>
  <c r="D49"/>
  <c r="D48"/>
  <c r="D45"/>
  <c r="D47"/>
  <c r="C71"/>
  <c r="C70"/>
  <c r="C69"/>
  <c r="C68"/>
  <c r="C67"/>
  <c r="C66"/>
  <c r="C65"/>
  <c r="C64"/>
  <c r="C63"/>
  <c r="C62"/>
  <c r="C61"/>
  <c r="C60"/>
  <c r="C59"/>
  <c r="C58"/>
  <c r="C57"/>
  <c r="C56"/>
  <c r="C55"/>
  <c r="C54"/>
  <c r="C53"/>
  <c r="C52"/>
  <c r="C51"/>
  <c r="C50"/>
  <c r="C49"/>
  <c r="C48"/>
  <c r="C47"/>
  <c r="B71"/>
  <c r="B70"/>
  <c r="B69"/>
  <c r="B68"/>
  <c r="B67"/>
  <c r="B66"/>
  <c r="B65"/>
  <c r="B64"/>
  <c r="B63"/>
  <c r="B62"/>
  <c r="B61"/>
  <c r="B60"/>
  <c r="B59"/>
  <c r="B58"/>
  <c r="B57"/>
  <c r="B56"/>
  <c r="B55"/>
  <c r="B54"/>
  <c r="B53"/>
  <c r="B52"/>
  <c r="B51"/>
  <c r="B50"/>
  <c r="B49"/>
  <c r="B48"/>
  <c r="B47"/>
  <c r="A62" i="5"/>
  <c r="J111" i="14" l="1"/>
  <c r="J110"/>
  <c r="G17"/>
  <c r="H17" s="1"/>
  <c r="I17" s="1"/>
  <c r="I106"/>
  <c r="J106" s="1"/>
  <c r="G18"/>
  <c r="H18" s="1"/>
  <c r="I18" s="1"/>
  <c r="G15"/>
  <c r="H15" s="1"/>
  <c r="I15" s="1"/>
  <c r="H19"/>
  <c r="I19" s="1"/>
  <c r="J109"/>
  <c r="G14"/>
  <c r="H14" s="1"/>
  <c r="I14" s="1"/>
  <c r="J108"/>
  <c r="H105"/>
  <c r="I105" s="1"/>
  <c r="J105" s="1"/>
  <c r="G16"/>
  <c r="H16" s="1"/>
  <c r="I16" s="1"/>
  <c r="H103"/>
  <c r="I103" s="1"/>
  <c r="G13"/>
  <c r="H13" s="1"/>
  <c r="I13" s="1"/>
  <c r="H102"/>
  <c r="I102" s="1"/>
  <c r="G12"/>
  <c r="H107"/>
  <c r="I107" s="1"/>
  <c r="J107" s="1"/>
  <c r="F32"/>
  <c r="I104"/>
  <c r="F61" i="5"/>
  <c r="A61"/>
  <c r="A60"/>
  <c r="I16"/>
  <c r="K106" i="14" l="1"/>
  <c r="K105"/>
  <c r="H122"/>
  <c r="K107"/>
  <c r="H12"/>
  <c r="I12" s="1"/>
  <c r="J103"/>
  <c r="K102"/>
  <c r="J102"/>
  <c r="I122"/>
  <c r="K103"/>
  <c r="K104"/>
  <c r="J104"/>
  <c r="I142" i="7"/>
  <c r="I143"/>
  <c r="I144"/>
  <c r="I145"/>
  <c r="I146"/>
  <c r="I147"/>
  <c r="I148"/>
  <c r="I149"/>
  <c r="I150"/>
  <c r="I151"/>
  <c r="I152"/>
  <c r="I153"/>
  <c r="I154"/>
  <c r="I155"/>
  <c r="I156"/>
  <c r="I157"/>
  <c r="I158"/>
  <c r="I159"/>
  <c r="I160"/>
  <c r="I161"/>
  <c r="I162"/>
  <c r="I163"/>
  <c r="I164"/>
  <c r="I165"/>
  <c r="I166"/>
  <c r="I167"/>
  <c r="I168"/>
  <c r="I169"/>
  <c r="I170"/>
  <c r="I171"/>
  <c r="I172"/>
  <c r="I173"/>
  <c r="I174"/>
  <c r="I175"/>
  <c r="I176"/>
  <c r="I177"/>
  <c r="I178"/>
  <c r="G32" i="14" l="1"/>
  <c r="H32"/>
  <c r="K122"/>
  <c r="J122"/>
  <c r="I32"/>
  <c r="H142" i="7"/>
  <c r="H143"/>
  <c r="H144"/>
  <c r="H145"/>
  <c r="H146"/>
  <c r="H147"/>
  <c r="H148"/>
  <c r="H149"/>
  <c r="H150"/>
  <c r="H151"/>
  <c r="H152"/>
  <c r="H153"/>
  <c r="H154"/>
  <c r="H155"/>
  <c r="H156"/>
  <c r="H157"/>
  <c r="H158"/>
  <c r="H159"/>
  <c r="H160"/>
  <c r="H161"/>
  <c r="H162"/>
  <c r="H163"/>
  <c r="H164"/>
  <c r="H165"/>
  <c r="H166"/>
  <c r="H167"/>
  <c r="H168"/>
  <c r="H169"/>
  <c r="H170"/>
  <c r="H171"/>
  <c r="H172"/>
  <c r="H173"/>
  <c r="H174"/>
  <c r="H175"/>
  <c r="H176"/>
  <c r="H177"/>
  <c r="H178"/>
  <c r="G178"/>
  <c r="G177"/>
  <c r="G176"/>
  <c r="G175"/>
  <c r="G174"/>
  <c r="G173"/>
  <c r="G172"/>
  <c r="G171"/>
  <c r="G170"/>
  <c r="G169"/>
  <c r="G168"/>
  <c r="G167"/>
  <c r="G166"/>
  <c r="G165"/>
  <c r="G164"/>
  <c r="G163"/>
  <c r="G162"/>
  <c r="G161"/>
  <c r="G160"/>
  <c r="G159"/>
  <c r="G158"/>
  <c r="G157"/>
  <c r="G156"/>
  <c r="G155"/>
  <c r="G154"/>
  <c r="G153"/>
  <c r="G152"/>
  <c r="G151"/>
  <c r="G150"/>
  <c r="G149"/>
  <c r="G148"/>
  <c r="G147"/>
  <c r="G146"/>
  <c r="G145"/>
  <c r="G144"/>
  <c r="G143"/>
  <c r="G142"/>
  <c r="G141"/>
  <c r="G140"/>
  <c r="G139"/>
  <c r="G138"/>
  <c r="G137"/>
  <c r="G136"/>
  <c r="G135"/>
  <c r="G134"/>
  <c r="G133"/>
  <c r="G132"/>
  <c r="G131"/>
  <c r="G130"/>
  <c r="G129"/>
  <c r="G128"/>
  <c r="G127"/>
  <c r="G126"/>
  <c r="G125"/>
  <c r="G124"/>
  <c r="G123"/>
  <c r="G122"/>
  <c r="G121"/>
  <c r="G120"/>
  <c r="G119"/>
  <c r="G118"/>
  <c r="G117"/>
  <c r="G116"/>
  <c r="G115"/>
  <c r="G114"/>
  <c r="G113"/>
  <c r="G112"/>
  <c r="G111"/>
  <c r="G110"/>
  <c r="G109"/>
  <c r="G108"/>
  <c r="G107"/>
  <c r="G106"/>
  <c r="G105"/>
  <c r="G104"/>
  <c r="G103"/>
  <c r="G102"/>
  <c r="G101"/>
  <c r="G100"/>
  <c r="G99"/>
  <c r="F179"/>
  <c r="E179"/>
  <c r="D79"/>
  <c r="D44" i="13" s="1"/>
  <c r="I34" i="14" l="1"/>
  <c r="H34" s="1"/>
  <c r="B17" i="6"/>
  <c r="B26" l="1"/>
  <c r="E28"/>
  <c r="E27"/>
  <c r="E26"/>
  <c r="C27"/>
  <c r="B27"/>
  <c r="C28"/>
  <c r="B28"/>
  <c r="A15" i="13" l="1"/>
  <c r="B25" i="6" l="1"/>
  <c r="E7" l="1"/>
  <c r="E20"/>
  <c r="E21"/>
  <c r="E24"/>
  <c r="E32"/>
  <c r="B32"/>
  <c r="B36"/>
  <c r="B37"/>
  <c r="E36"/>
  <c r="E37"/>
  <c r="E19"/>
  <c r="J18" i="5"/>
  <c r="J22"/>
  <c r="C8" i="6"/>
  <c r="E132" i="13" l="1"/>
  <c r="E10" i="4"/>
  <c r="B11"/>
  <c r="F129" i="13" l="1"/>
  <c r="B109"/>
  <c r="B110"/>
  <c r="B111"/>
  <c r="B112"/>
  <c r="B113"/>
  <c r="B114"/>
  <c r="B115"/>
  <c r="B116"/>
  <c r="B117"/>
  <c r="B118"/>
  <c r="B119"/>
  <c r="B120"/>
  <c r="B121"/>
  <c r="B108"/>
  <c r="B107"/>
  <c r="A11" l="1"/>
  <c r="D119"/>
  <c r="D120"/>
  <c r="D121"/>
  <c r="C108"/>
  <c r="C109"/>
  <c r="C110"/>
  <c r="C111"/>
  <c r="C112"/>
  <c r="C113"/>
  <c r="C114"/>
  <c r="C115"/>
  <c r="C116"/>
  <c r="C117"/>
  <c r="C118"/>
  <c r="C119"/>
  <c r="C120"/>
  <c r="C121"/>
  <c r="C107"/>
  <c r="D99"/>
  <c r="D100"/>
  <c r="D101"/>
  <c r="D102"/>
  <c r="F137"/>
  <c r="C102"/>
  <c r="C101"/>
  <c r="C100"/>
  <c r="C99"/>
  <c r="C98"/>
  <c r="C97"/>
  <c r="C96"/>
  <c r="C95"/>
  <c r="C94"/>
  <c r="C93"/>
  <c r="C92"/>
  <c r="C91"/>
  <c r="C90"/>
  <c r="C89"/>
  <c r="C88"/>
  <c r="C87"/>
  <c r="C86"/>
  <c r="C85"/>
  <c r="C84"/>
  <c r="C83"/>
  <c r="C82"/>
  <c r="C81"/>
  <c r="C80"/>
  <c r="C79"/>
  <c r="C78"/>
  <c r="C140"/>
  <c r="C10" i="5" l="1"/>
  <c r="E22" i="11" s="1"/>
  <c r="B3" i="4"/>
  <c r="B4"/>
  <c r="B79" i="13" l="1"/>
  <c r="B80"/>
  <c r="B81"/>
  <c r="B82"/>
  <c r="B83"/>
  <c r="B84"/>
  <c r="B85"/>
  <c r="B86"/>
  <c r="B87"/>
  <c r="B88"/>
  <c r="B89"/>
  <c r="B90"/>
  <c r="B91"/>
  <c r="B92"/>
  <c r="B93"/>
  <c r="B94"/>
  <c r="B95"/>
  <c r="B96"/>
  <c r="B97"/>
  <c r="B98"/>
  <c r="B99"/>
  <c r="B100"/>
  <c r="B101"/>
  <c r="B102"/>
  <c r="B78"/>
  <c r="F133" l="1"/>
  <c r="H133"/>
  <c r="G13" l="1"/>
  <c r="D80"/>
  <c r="A13" l="1"/>
  <c r="B69" i="2"/>
  <c r="B68"/>
  <c r="B72"/>
  <c r="B71"/>
  <c r="B70"/>
  <c r="B73"/>
  <c r="D3" i="4" s="1"/>
  <c r="B16" i="6" l="1"/>
  <c r="C6" i="4" l="1"/>
  <c r="E30" l="1"/>
  <c r="B16"/>
  <c r="B17"/>
  <c r="E9"/>
  <c r="F21" i="13" l="1"/>
  <c r="E8" i="4" l="1"/>
  <c r="B66" i="2"/>
  <c r="B65"/>
  <c r="B64"/>
  <c r="B63"/>
  <c r="B61"/>
  <c r="A22" i="13"/>
  <c r="A21" l="1"/>
  <c r="A16" l="1"/>
  <c r="A14"/>
  <c r="A17"/>
  <c r="A10"/>
  <c r="I10" i="5"/>
  <c r="E24" i="11" s="1"/>
  <c r="I12" i="5" l="1"/>
  <c r="G7" i="13" l="1"/>
  <c r="A6" i="5" l="1"/>
  <c r="E38" i="6" l="1"/>
  <c r="B24" i="11" l="1"/>
  <c r="B22"/>
  <c r="B10" l="1"/>
  <c r="B42" s="1"/>
  <c r="B9"/>
  <c r="B41" s="1"/>
  <c r="B8"/>
  <c r="B40" s="1"/>
  <c r="B7"/>
  <c r="B6"/>
  <c r="B39" s="1"/>
  <c r="B5"/>
  <c r="B38" s="1"/>
  <c r="B4"/>
  <c r="B37" s="1"/>
  <c r="A2"/>
  <c r="F48" s="1"/>
  <c r="D118" i="13" l="1"/>
  <c r="D117"/>
  <c r="D116"/>
  <c r="D115"/>
  <c r="D114"/>
  <c r="D113"/>
  <c r="D112"/>
  <c r="D111"/>
  <c r="D110"/>
  <c r="E47" i="7"/>
  <c r="D109" i="13" s="1"/>
  <c r="E46" i="7"/>
  <c r="D108" i="13" s="1"/>
  <c r="E45" i="7"/>
  <c r="D107" i="13" s="1"/>
  <c r="D98"/>
  <c r="D97"/>
  <c r="D96"/>
  <c r="D95"/>
  <c r="D94"/>
  <c r="D93"/>
  <c r="D92"/>
  <c r="D91"/>
  <c r="D90"/>
  <c r="D89"/>
  <c r="D88"/>
  <c r="D87"/>
  <c r="D86"/>
  <c r="D85"/>
  <c r="D84"/>
  <c r="D83"/>
  <c r="D82"/>
  <c r="D81"/>
  <c r="D79"/>
  <c r="D78"/>
  <c r="E95" i="2" l="1"/>
  <c r="B109"/>
  <c r="B108"/>
  <c r="B107"/>
  <c r="A106"/>
  <c r="C102"/>
  <c r="C101"/>
  <c r="C100"/>
  <c r="C99"/>
  <c r="C98"/>
  <c r="C97"/>
  <c r="C96"/>
  <c r="C95"/>
  <c r="C94"/>
  <c r="C93"/>
  <c r="C92"/>
  <c r="C91"/>
  <c r="C90"/>
  <c r="A112" l="1"/>
  <c r="B112" s="1"/>
  <c r="E112" s="1"/>
  <c r="B16" s="1"/>
  <c r="F15" i="5" l="1"/>
  <c r="B15" i="6"/>
  <c r="E125" i="8" l="1"/>
  <c r="F11"/>
  <c r="F9"/>
  <c r="D11" s="1"/>
  <c r="D9"/>
  <c r="C9"/>
  <c r="F8"/>
  <c r="E8"/>
  <c r="C8"/>
  <c r="F7"/>
  <c r="F4"/>
  <c r="C4"/>
  <c r="F3"/>
  <c r="C3"/>
  <c r="F2"/>
  <c r="E1"/>
  <c r="A1"/>
  <c r="J178" i="7"/>
  <c r="J177"/>
  <c r="J176"/>
  <c r="J175"/>
  <c r="J174"/>
  <c r="J173"/>
  <c r="J172"/>
  <c r="J171"/>
  <c r="J170"/>
  <c r="J169"/>
  <c r="J168"/>
  <c r="J167"/>
  <c r="J166"/>
  <c r="J165"/>
  <c r="J164"/>
  <c r="J163"/>
  <c r="J162"/>
  <c r="J161"/>
  <c r="J160"/>
  <c r="J159"/>
  <c r="J158"/>
  <c r="J157"/>
  <c r="J156"/>
  <c r="J155"/>
  <c r="J154"/>
  <c r="J153"/>
  <c r="J152"/>
  <c r="J151"/>
  <c r="J150"/>
  <c r="J149"/>
  <c r="J148"/>
  <c r="J147"/>
  <c r="J146"/>
  <c r="J145"/>
  <c r="J144"/>
  <c r="J143"/>
  <c r="J142"/>
  <c r="A72"/>
  <c r="G70"/>
  <c r="F70"/>
  <c r="I69"/>
  <c r="J68"/>
  <c r="J67"/>
  <c r="J66"/>
  <c r="J65"/>
  <c r="J64"/>
  <c r="J63"/>
  <c r="J62"/>
  <c r="J61"/>
  <c r="J60"/>
  <c r="I59"/>
  <c r="E121" i="13" s="1"/>
  <c r="J58" i="7"/>
  <c r="J57"/>
  <c r="J56"/>
  <c r="I55"/>
  <c r="E117" i="13" s="1"/>
  <c r="J54" i="7"/>
  <c r="J53"/>
  <c r="J52"/>
  <c r="J51"/>
  <c r="J50"/>
  <c r="J49"/>
  <c r="J48"/>
  <c r="I47"/>
  <c r="E109" i="13" s="1"/>
  <c r="J46" i="7"/>
  <c r="J45"/>
  <c r="G41"/>
  <c r="F41"/>
  <c r="J40"/>
  <c r="J39"/>
  <c r="J38"/>
  <c r="J37"/>
  <c r="I36"/>
  <c r="J35"/>
  <c r="J34"/>
  <c r="J33"/>
  <c r="I32"/>
  <c r="E99" i="13" s="1"/>
  <c r="J31" i="7"/>
  <c r="J30"/>
  <c r="J29"/>
  <c r="I28"/>
  <c r="E95" i="13" s="1"/>
  <c r="J27" i="7"/>
  <c r="J26"/>
  <c r="J25"/>
  <c r="I24"/>
  <c r="E91" i="13" s="1"/>
  <c r="J23" i="7"/>
  <c r="J22"/>
  <c r="J21"/>
  <c r="J20"/>
  <c r="J19"/>
  <c r="I18"/>
  <c r="E85" i="13" s="1"/>
  <c r="J17" i="7"/>
  <c r="J16"/>
  <c r="J15"/>
  <c r="J14"/>
  <c r="I13"/>
  <c r="E80" i="13" s="1"/>
  <c r="G80" s="1"/>
  <c r="H80" s="1"/>
  <c r="J12" i="7"/>
  <c r="J11"/>
  <c r="C7"/>
  <c r="C6"/>
  <c r="H5"/>
  <c r="C5"/>
  <c r="H4"/>
  <c r="F4"/>
  <c r="C4"/>
  <c r="H3"/>
  <c r="C3"/>
  <c r="E85" i="6"/>
  <c r="B85"/>
  <c r="C74"/>
  <c r="A51"/>
  <c r="D47"/>
  <c r="D46"/>
  <c r="D44"/>
  <c r="B39"/>
  <c r="B38"/>
  <c r="E33"/>
  <c r="B33"/>
  <c r="E31"/>
  <c r="B31"/>
  <c r="B24"/>
  <c r="E23"/>
  <c r="B23"/>
  <c r="E22"/>
  <c r="B22"/>
  <c r="B21"/>
  <c r="B20"/>
  <c r="E16"/>
  <c r="D16"/>
  <c r="C16"/>
  <c r="E15"/>
  <c r="E14"/>
  <c r="B14"/>
  <c r="E13"/>
  <c r="A8"/>
  <c r="B7"/>
  <c r="E4"/>
  <c r="B4"/>
  <c r="E3"/>
  <c r="B3"/>
  <c r="E2"/>
  <c r="D1"/>
  <c r="A1"/>
  <c r="H56" i="5"/>
  <c r="H55"/>
  <c r="L31"/>
  <c r="I29"/>
  <c r="C29"/>
  <c r="I28"/>
  <c r="C28"/>
  <c r="C25"/>
  <c r="F24"/>
  <c r="C24"/>
  <c r="I23"/>
  <c r="C23"/>
  <c r="I20"/>
  <c r="F20"/>
  <c r="C20"/>
  <c r="I19"/>
  <c r="F19"/>
  <c r="C19"/>
  <c r="C16"/>
  <c r="I15"/>
  <c r="G15"/>
  <c r="C15"/>
  <c r="I14"/>
  <c r="C14"/>
  <c r="F11"/>
  <c r="F10"/>
  <c r="E23" i="11" s="1"/>
  <c r="B43" s="1"/>
  <c r="F9" i="5"/>
  <c r="B23" i="11" s="1"/>
  <c r="B44" s="1"/>
  <c r="I7" i="5"/>
  <c r="C7"/>
  <c r="E29" i="4"/>
  <c r="E26"/>
  <c r="E25"/>
  <c r="A21"/>
  <c r="C20"/>
  <c r="A20"/>
  <c r="A15"/>
  <c r="E12"/>
  <c r="E15" s="1"/>
  <c r="B12"/>
  <c r="E11"/>
  <c r="B10"/>
  <c r="E4"/>
  <c r="B9"/>
  <c r="C8"/>
  <c r="E7"/>
  <c r="D7"/>
  <c r="B7"/>
  <c r="A7"/>
  <c r="E6"/>
  <c r="D6"/>
  <c r="B6"/>
  <c r="A6"/>
  <c r="E5"/>
  <c r="B5"/>
  <c r="C39" i="3"/>
  <c r="A37"/>
  <c r="C23"/>
  <c r="C22"/>
  <c r="C21"/>
  <c r="C19"/>
  <c r="C18"/>
  <c r="C17"/>
  <c r="C16"/>
  <c r="E15"/>
  <c r="D15"/>
  <c r="C15"/>
  <c r="C14"/>
  <c r="B14"/>
  <c r="C13"/>
  <c r="C12"/>
  <c r="C11"/>
  <c r="C10"/>
  <c r="B10"/>
  <c r="C9"/>
  <c r="B9"/>
  <c r="A8"/>
  <c r="C7"/>
  <c r="C6"/>
  <c r="E4"/>
  <c r="B4"/>
  <c r="E3"/>
  <c r="B3"/>
  <c r="E2"/>
  <c r="C1"/>
  <c r="A1"/>
  <c r="I17" i="2"/>
  <c r="L16"/>
  <c r="G10" s="1"/>
  <c r="H54" i="5"/>
  <c r="H119" i="7" l="1"/>
  <c r="I119" s="1"/>
  <c r="J119" s="1"/>
  <c r="H123"/>
  <c r="I123" s="1"/>
  <c r="J123" s="1"/>
  <c r="H127"/>
  <c r="I127" s="1"/>
  <c r="J127" s="1"/>
  <c r="H131"/>
  <c r="I131" s="1"/>
  <c r="J131" s="1"/>
  <c r="H135"/>
  <c r="I135" s="1"/>
  <c r="J135" s="1"/>
  <c r="H139"/>
  <c r="I139" s="1"/>
  <c r="J139" s="1"/>
  <c r="H129"/>
  <c r="I129" s="1"/>
  <c r="J129" s="1"/>
  <c r="H118"/>
  <c r="I118" s="1"/>
  <c r="J118" s="1"/>
  <c r="H134"/>
  <c r="I134" s="1"/>
  <c r="J134" s="1"/>
  <c r="H116"/>
  <c r="I116" s="1"/>
  <c r="J116" s="1"/>
  <c r="H120"/>
  <c r="I120" s="1"/>
  <c r="J120" s="1"/>
  <c r="H124"/>
  <c r="I124" s="1"/>
  <c r="J124" s="1"/>
  <c r="H128"/>
  <c r="I128" s="1"/>
  <c r="J128" s="1"/>
  <c r="H132"/>
  <c r="I132" s="1"/>
  <c r="J132" s="1"/>
  <c r="H136"/>
  <c r="I136" s="1"/>
  <c r="J136" s="1"/>
  <c r="H140"/>
  <c r="I140" s="1"/>
  <c r="J140" s="1"/>
  <c r="H117"/>
  <c r="I117" s="1"/>
  <c r="J117" s="1"/>
  <c r="H121"/>
  <c r="I121" s="1"/>
  <c r="J121" s="1"/>
  <c r="H125"/>
  <c r="I125" s="1"/>
  <c r="J125" s="1"/>
  <c r="H133"/>
  <c r="I133" s="1"/>
  <c r="J133" s="1"/>
  <c r="H137"/>
  <c r="I137" s="1"/>
  <c r="J137" s="1"/>
  <c r="H141"/>
  <c r="I141" s="1"/>
  <c r="J141" s="1"/>
  <c r="H122"/>
  <c r="I122" s="1"/>
  <c r="J122" s="1"/>
  <c r="H126"/>
  <c r="I126" s="1"/>
  <c r="J126" s="1"/>
  <c r="H130"/>
  <c r="I130" s="1"/>
  <c r="J130" s="1"/>
  <c r="H138"/>
  <c r="I138" s="1"/>
  <c r="J138" s="1"/>
  <c r="H106"/>
  <c r="I106" s="1"/>
  <c r="J106" s="1"/>
  <c r="H110"/>
  <c r="I110" s="1"/>
  <c r="J110" s="1"/>
  <c r="H105"/>
  <c r="I105" s="1"/>
  <c r="H109"/>
  <c r="I109" s="1"/>
  <c r="J109" s="1"/>
  <c r="H113"/>
  <c r="I113" s="1"/>
  <c r="J113" s="1"/>
  <c r="H104"/>
  <c r="I104" s="1"/>
  <c r="H108"/>
  <c r="I108" s="1"/>
  <c r="J108" s="1"/>
  <c r="H112"/>
  <c r="I112" s="1"/>
  <c r="J112" s="1"/>
  <c r="H107"/>
  <c r="I107" s="1"/>
  <c r="J107" s="1"/>
  <c r="H111"/>
  <c r="I111" s="1"/>
  <c r="J111" s="1"/>
  <c r="H115"/>
  <c r="I115" s="1"/>
  <c r="J115" s="1"/>
  <c r="H79"/>
  <c r="H80"/>
  <c r="F85" i="13"/>
  <c r="G85"/>
  <c r="H85" s="1"/>
  <c r="G91"/>
  <c r="H91" s="1"/>
  <c r="F91"/>
  <c r="G95"/>
  <c r="H95" s="1"/>
  <c r="F95"/>
  <c r="F99"/>
  <c r="G99"/>
  <c r="H99" s="1"/>
  <c r="G109"/>
  <c r="H109" s="1"/>
  <c r="F109"/>
  <c r="G117"/>
  <c r="H117" s="1"/>
  <c r="F117"/>
  <c r="G121"/>
  <c r="H121" s="1"/>
  <c r="F121"/>
  <c r="H52" i="5"/>
  <c r="E12" i="6"/>
  <c r="E34" i="3"/>
  <c r="F80" i="13"/>
  <c r="H134"/>
  <c r="F134"/>
  <c r="F136"/>
  <c r="H136"/>
  <c r="H135"/>
  <c r="F135"/>
  <c r="J27" i="5"/>
  <c r="E13"/>
  <c r="J36" i="7"/>
  <c r="J69"/>
  <c r="J13"/>
  <c r="I16"/>
  <c r="E83" i="13" s="1"/>
  <c r="G83" s="1"/>
  <c r="H83" s="1"/>
  <c r="I19" i="7"/>
  <c r="E86" i="13" s="1"/>
  <c r="I26" i="7"/>
  <c r="E93" i="13" s="1"/>
  <c r="I37" i="7"/>
  <c r="I49"/>
  <c r="E111" i="13" s="1"/>
  <c r="I53" i="7"/>
  <c r="E115" i="13" s="1"/>
  <c r="I61" i="7"/>
  <c r="I65"/>
  <c r="I67"/>
  <c r="J18"/>
  <c r="I20"/>
  <c r="E87" i="13" s="1"/>
  <c r="I23" i="7"/>
  <c r="E90" i="13" s="1"/>
  <c r="I25" i="7"/>
  <c r="E92" i="13" s="1"/>
  <c r="I30" i="7"/>
  <c r="E97" i="13" s="1"/>
  <c r="I33" i="7"/>
  <c r="E100" i="13" s="1"/>
  <c r="I46" i="7"/>
  <c r="E108" i="13" s="1"/>
  <c r="G108" s="1"/>
  <c r="H108" s="1"/>
  <c r="J47" i="7"/>
  <c r="I52"/>
  <c r="E114" i="13" s="1"/>
  <c r="J55" i="7"/>
  <c r="I58"/>
  <c r="E120" i="13" s="1"/>
  <c r="J59" i="7"/>
  <c r="I64"/>
  <c r="D45" i="6"/>
  <c r="I48" i="7"/>
  <c r="E110" i="13" s="1"/>
  <c r="I50" i="7"/>
  <c r="E112" i="13" s="1"/>
  <c r="I51" i="7"/>
  <c r="E113" i="13" s="1"/>
  <c r="I54" i="7"/>
  <c r="E116" i="13" s="1"/>
  <c r="I56" i="7"/>
  <c r="E118" i="13" s="1"/>
  <c r="I57" i="7"/>
  <c r="E119" i="13" s="1"/>
  <c r="I60" i="7"/>
  <c r="I62"/>
  <c r="I63"/>
  <c r="I66"/>
  <c r="I68"/>
  <c r="I12"/>
  <c r="E79" i="13" s="1"/>
  <c r="G79" s="1"/>
  <c r="H79" s="1"/>
  <c r="I31" i="5"/>
  <c r="E31" s="1"/>
  <c r="J8" i="7"/>
  <c r="J13" i="5"/>
  <c r="E8" i="6"/>
  <c r="I14" i="7"/>
  <c r="E81" i="13" s="1"/>
  <c r="G81" s="1"/>
  <c r="H81" s="1"/>
  <c r="I15" i="7"/>
  <c r="E82" i="13" s="1"/>
  <c r="G82" s="1"/>
  <c r="H82" s="1"/>
  <c r="J24" i="7"/>
  <c r="J28"/>
  <c r="I29"/>
  <c r="E96" i="13" s="1"/>
  <c r="J32" i="7"/>
  <c r="I34"/>
  <c r="E101" i="13" s="1"/>
  <c r="I38" i="7"/>
  <c r="I40"/>
  <c r="I45"/>
  <c r="E107" i="13" s="1"/>
  <c r="G107" s="1"/>
  <c r="H70" i="7"/>
  <c r="I17"/>
  <c r="E84" i="13" s="1"/>
  <c r="G84" s="1"/>
  <c r="H84" s="1"/>
  <c r="I21" i="7"/>
  <c r="E88" i="13" s="1"/>
  <c r="I27" i="7"/>
  <c r="E94" i="13" s="1"/>
  <c r="I31" i="7"/>
  <c r="E98" i="13" s="1"/>
  <c r="I35" i="7"/>
  <c r="E102" i="13" s="1"/>
  <c r="I22" i="7"/>
  <c r="E89" i="13" s="1"/>
  <c r="I39" i="7"/>
  <c r="H41"/>
  <c r="I11"/>
  <c r="E78" i="13" s="1"/>
  <c r="G78" s="1"/>
  <c r="E71" l="1"/>
  <c r="G71" s="1"/>
  <c r="H71" s="1"/>
  <c r="J105" i="7"/>
  <c r="F71" i="13" s="1"/>
  <c r="E70"/>
  <c r="G70" s="1"/>
  <c r="H70" s="1"/>
  <c r="J104" i="7"/>
  <c r="F70" i="13" s="1"/>
  <c r="F89"/>
  <c r="G89"/>
  <c r="H89" s="1"/>
  <c r="F88"/>
  <c r="G88"/>
  <c r="H88" s="1"/>
  <c r="F96"/>
  <c r="G96"/>
  <c r="H96" s="1"/>
  <c r="G113"/>
  <c r="H113" s="1"/>
  <c r="F113"/>
  <c r="F100"/>
  <c r="G100"/>
  <c r="H100" s="1"/>
  <c r="F87"/>
  <c r="G87"/>
  <c r="H87" s="1"/>
  <c r="F93"/>
  <c r="G93"/>
  <c r="H93" s="1"/>
  <c r="F102"/>
  <c r="G102"/>
  <c r="H102" s="1"/>
  <c r="G119"/>
  <c r="H119" s="1"/>
  <c r="F119"/>
  <c r="G112"/>
  <c r="H112" s="1"/>
  <c r="F112"/>
  <c r="G114"/>
  <c r="H114" s="1"/>
  <c r="F114"/>
  <c r="F97"/>
  <c r="G97"/>
  <c r="H97" s="1"/>
  <c r="G115"/>
  <c r="H115" s="1"/>
  <c r="F115"/>
  <c r="F86"/>
  <c r="G86"/>
  <c r="H86" s="1"/>
  <c r="F98"/>
  <c r="G98"/>
  <c r="H98" s="1"/>
  <c r="F101"/>
  <c r="G101"/>
  <c r="H101" s="1"/>
  <c r="G118"/>
  <c r="H118" s="1"/>
  <c r="F118"/>
  <c r="G110"/>
  <c r="H110" s="1"/>
  <c r="F110"/>
  <c r="F92"/>
  <c r="G92"/>
  <c r="H92" s="1"/>
  <c r="G111"/>
  <c r="H111" s="1"/>
  <c r="F111"/>
  <c r="F94"/>
  <c r="G94"/>
  <c r="H94" s="1"/>
  <c r="G116"/>
  <c r="H116" s="1"/>
  <c r="F116"/>
  <c r="G120"/>
  <c r="H120" s="1"/>
  <c r="F120"/>
  <c r="F90"/>
  <c r="G90"/>
  <c r="H90" s="1"/>
  <c r="D42"/>
  <c r="G67" i="2"/>
  <c r="H91" i="7" s="1"/>
  <c r="I91" s="1"/>
  <c r="E57" i="13" s="1"/>
  <c r="H107"/>
  <c r="H78"/>
  <c r="E122"/>
  <c r="F128" s="1"/>
  <c r="F107"/>
  <c r="F108"/>
  <c r="F84"/>
  <c r="F79"/>
  <c r="F82"/>
  <c r="F81"/>
  <c r="F83"/>
  <c r="F78"/>
  <c r="E103"/>
  <c r="F127" s="1"/>
  <c r="J70" i="7"/>
  <c r="G73" s="1"/>
  <c r="I70"/>
  <c r="G74" s="1"/>
  <c r="J41"/>
  <c r="I41"/>
  <c r="J91" l="1"/>
  <c r="F57" i="13" s="1"/>
  <c r="H102" i="7"/>
  <c r="I102" s="1"/>
  <c r="H99"/>
  <c r="I99" s="1"/>
  <c r="H100"/>
  <c r="I100" s="1"/>
  <c r="H103"/>
  <c r="I103" s="1"/>
  <c r="H93"/>
  <c r="I93" s="1"/>
  <c r="H101"/>
  <c r="I101" s="1"/>
  <c r="H114"/>
  <c r="I114" s="1"/>
  <c r="J114" s="1"/>
  <c r="H97"/>
  <c r="I97" s="1"/>
  <c r="H96"/>
  <c r="I96" s="1"/>
  <c r="H98"/>
  <c r="I98" s="1"/>
  <c r="H84"/>
  <c r="I84" s="1"/>
  <c r="J84" s="1"/>
  <c r="F50" i="13" s="1"/>
  <c r="H89" i="7"/>
  <c r="I89" s="1"/>
  <c r="H94"/>
  <c r="I94" s="1"/>
  <c r="H90"/>
  <c r="I90" s="1"/>
  <c r="H92"/>
  <c r="I92" s="1"/>
  <c r="H87"/>
  <c r="I87" s="1"/>
  <c r="H95"/>
  <c r="I95" s="1"/>
  <c r="H88"/>
  <c r="I88" s="1"/>
  <c r="H81"/>
  <c r="I81" s="1"/>
  <c r="J81" s="1"/>
  <c r="F47" i="13" s="1"/>
  <c r="H83" i="7"/>
  <c r="I83" s="1"/>
  <c r="H122" i="13"/>
  <c r="H85" i="7"/>
  <c r="I85" s="1"/>
  <c r="H86"/>
  <c r="I86" s="1"/>
  <c r="E52" i="13" s="1"/>
  <c r="G52" s="1"/>
  <c r="H52" s="1"/>
  <c r="H47" i="5"/>
  <c r="H82" i="7"/>
  <c r="I82" s="1"/>
  <c r="H103" i="13"/>
  <c r="G103"/>
  <c r="H127" s="1"/>
  <c r="G122"/>
  <c r="H128" s="1"/>
  <c r="G79" i="7"/>
  <c r="F122" i="13"/>
  <c r="F103"/>
  <c r="G72" i="7"/>
  <c r="H48" i="5" s="1"/>
  <c r="J101" i="7" l="1"/>
  <c r="F67" i="13" s="1"/>
  <c r="E67"/>
  <c r="G67" s="1"/>
  <c r="H67" s="1"/>
  <c r="J93" i="7"/>
  <c r="F59" i="13" s="1"/>
  <c r="E59"/>
  <c r="G59" s="1"/>
  <c r="H59" s="1"/>
  <c r="E68"/>
  <c r="G68" s="1"/>
  <c r="H68" s="1"/>
  <c r="J102" i="7"/>
  <c r="F68" i="13" s="1"/>
  <c r="E65"/>
  <c r="G65" s="1"/>
  <c r="H65" s="1"/>
  <c r="J99" i="7"/>
  <c r="F65" i="13" s="1"/>
  <c r="J100" i="7"/>
  <c r="F66" i="13" s="1"/>
  <c r="E66"/>
  <c r="G66" s="1"/>
  <c r="H66" s="1"/>
  <c r="J103" i="7"/>
  <c r="F69" i="13" s="1"/>
  <c r="E69"/>
  <c r="G69" s="1"/>
  <c r="H69" s="1"/>
  <c r="J96" i="7"/>
  <c r="F62" i="13" s="1"/>
  <c r="E62"/>
  <c r="G62" s="1"/>
  <c r="H62" s="1"/>
  <c r="J98" i="7"/>
  <c r="F64" i="13" s="1"/>
  <c r="E64"/>
  <c r="G64" s="1"/>
  <c r="H64" s="1"/>
  <c r="J97" i="7"/>
  <c r="F63" i="13" s="1"/>
  <c r="E63"/>
  <c r="G63" s="1"/>
  <c r="H63" s="1"/>
  <c r="E50"/>
  <c r="J87" i="7"/>
  <c r="F53" i="13" s="1"/>
  <c r="E53"/>
  <c r="G53" s="1"/>
  <c r="H53" s="1"/>
  <c r="J95" i="7"/>
  <c r="F61" i="13" s="1"/>
  <c r="E61"/>
  <c r="G61" s="1"/>
  <c r="H61" s="1"/>
  <c r="J94" i="7"/>
  <c r="F60" i="13" s="1"/>
  <c r="E60"/>
  <c r="G60" s="1"/>
  <c r="H60" s="1"/>
  <c r="J92" i="7"/>
  <c r="F58" i="13" s="1"/>
  <c r="E58"/>
  <c r="G58" s="1"/>
  <c r="H58" s="1"/>
  <c r="J89" i="7"/>
  <c r="F55" i="13" s="1"/>
  <c r="E55"/>
  <c r="J88" i="7"/>
  <c r="F54" i="13" s="1"/>
  <c r="E54"/>
  <c r="G54" s="1"/>
  <c r="H54" s="1"/>
  <c r="J90" i="7"/>
  <c r="F56" i="13" s="1"/>
  <c r="E56"/>
  <c r="J83" i="7"/>
  <c r="F49" i="13" s="1"/>
  <c r="E49"/>
  <c r="E47"/>
  <c r="E51"/>
  <c r="F185" i="7"/>
  <c r="H195"/>
  <c r="F42" i="5" s="1"/>
  <c r="H191" i="7"/>
  <c r="F38" i="5" s="1"/>
  <c r="E48" i="13"/>
  <c r="F183" i="7"/>
  <c r="F40" i="5"/>
  <c r="J86" i="7"/>
  <c r="F52" i="13" s="1"/>
  <c r="F39" i="5"/>
  <c r="J85" i="7"/>
  <c r="F51" i="13" s="1"/>
  <c r="J82" i="7"/>
  <c r="F48" i="13" s="1"/>
  <c r="I79" i="7"/>
  <c r="G179"/>
  <c r="E72" i="13" l="1"/>
  <c r="E44"/>
  <c r="G44" s="1"/>
  <c r="H44" s="1"/>
  <c r="H199" i="7"/>
  <c r="F35" i="5" s="1"/>
  <c r="G48" i="13"/>
  <c r="H48" s="1"/>
  <c r="F72"/>
  <c r="I80" i="7"/>
  <c r="H194" s="1"/>
  <c r="J79"/>
  <c r="F44" i="13" s="1"/>
  <c r="G45"/>
  <c r="H45" s="1"/>
  <c r="G51"/>
  <c r="H51" s="1"/>
  <c r="G56"/>
  <c r="H56" s="1"/>
  <c r="G49"/>
  <c r="H49" s="1"/>
  <c r="G47"/>
  <c r="G50"/>
  <c r="H50" s="1"/>
  <c r="G55"/>
  <c r="H55" s="1"/>
  <c r="G57"/>
  <c r="H57" s="1"/>
  <c r="E45" l="1"/>
  <c r="F125" s="1"/>
  <c r="I179" i="7"/>
  <c r="H45" i="5"/>
  <c r="I181" i="7"/>
  <c r="J80"/>
  <c r="G72" i="13"/>
  <c r="H47"/>
  <c r="H72" s="1"/>
  <c r="F126"/>
  <c r="H125"/>
  <c r="F184" i="7" l="1"/>
  <c r="I180"/>
  <c r="D42" i="6" s="1"/>
  <c r="J179" i="7"/>
  <c r="H50" i="5" s="1"/>
  <c r="D43" i="6" s="1"/>
  <c r="F45" i="13"/>
  <c r="F130" s="1"/>
  <c r="F131" s="1"/>
  <c r="H196" i="7"/>
  <c r="F41" i="5"/>
  <c r="H126" i="13"/>
  <c r="H46" i="5" l="1"/>
  <c r="H51" s="1"/>
  <c r="H130" i="13"/>
  <c r="H131" s="1"/>
  <c r="H58" i="5" l="1"/>
  <c r="H59" s="1"/>
  <c r="F132" i="13"/>
  <c r="F138" s="1"/>
  <c r="H138"/>
  <c r="I62" i="5" l="1"/>
  <c r="D48" i="6"/>
  <c r="C110"/>
  <c r="C24" i="3"/>
  <c r="A23" i="13"/>
  <c r="F139" l="1"/>
  <c r="B30" i="11"/>
  <c r="E37" i="4"/>
  <c r="E38" l="1"/>
  <c r="E39" s="1"/>
  <c r="C25" i="3" s="1"/>
</calcChain>
</file>

<file path=xl/sharedStrings.xml><?xml version="1.0" encoding="utf-8"?>
<sst xmlns="http://schemas.openxmlformats.org/spreadsheetml/2006/main" count="1929" uniqueCount="838">
  <si>
    <t>NAME OF INSURED</t>
  </si>
  <si>
    <t>DATE OF LOSS</t>
  </si>
  <si>
    <t>DATE OF INTIMATION</t>
  </si>
  <si>
    <t>CAUSE OF LOSS</t>
  </si>
  <si>
    <t>ESTIMATED LOSS</t>
  </si>
  <si>
    <t>PROFESSIONAL FEE</t>
  </si>
  <si>
    <t>NAME OF SURVEYOR</t>
  </si>
  <si>
    <t xml:space="preserve">VEHICLE REGN. NO. </t>
  </si>
  <si>
    <t>ASSESSED LOSS</t>
  </si>
  <si>
    <t>=IF(c17&gt;200000,SUM(2000+((B15-200000)*0.5%)),IF(c17&gt;100000,1700,IF(c17&gt;50000,1100,IF(c17&gt;20000,900,600))))</t>
  </si>
  <si>
    <t xml:space="preserve">Others (Specify) </t>
  </si>
  <si>
    <t xml:space="preserve">DAILY ALLOWANCE </t>
  </si>
  <si>
    <t>PHOTO CHARGES</t>
  </si>
  <si>
    <t>OTHER (OUT OF POCKET) EXPENSES</t>
  </si>
  <si>
    <t xml:space="preserve">Courier, Postage, etc. </t>
  </si>
  <si>
    <t>DATE OF SURVEY</t>
  </si>
  <si>
    <t>ALLOTMENT OF SURVEY</t>
  </si>
  <si>
    <t>PLACE OF SURVEY</t>
  </si>
  <si>
    <t>TYPE OF SURVEY</t>
  </si>
  <si>
    <t>RE-INSPECTION </t>
  </si>
  <si>
    <t>SURVEYOR</t>
  </si>
  <si>
    <t>Sl No</t>
  </si>
  <si>
    <t>FINAL SURVEY</t>
  </si>
  <si>
    <t>NET AMOUNT</t>
  </si>
  <si>
    <t>AGE OF VEHICLE</t>
  </si>
  <si>
    <t>SL NO</t>
  </si>
  <si>
    <t>DESCRIPTION</t>
  </si>
  <si>
    <t>REPLACEMENT OF PARTS</t>
  </si>
  <si>
    <t>LABOUR CHARGES</t>
  </si>
  <si>
    <t>PAINTING CHARGES</t>
  </si>
  <si>
    <t>TOWING CHARGES</t>
  </si>
  <si>
    <t>ROUND OFF</t>
  </si>
  <si>
    <t>TOTAL(ROUNDED OFF)</t>
  </si>
  <si>
    <t>SUB TOTAL</t>
  </si>
  <si>
    <t>%</t>
  </si>
  <si>
    <t>AMOUNTS</t>
  </si>
  <si>
    <t>Date of Expiry</t>
  </si>
  <si>
    <t>Mobile Number</t>
  </si>
  <si>
    <t>Email Id</t>
  </si>
  <si>
    <t>PRIVATE AND CONFIDENTIAL MOTOR (FINAL) SURVEY REPORT</t>
  </si>
  <si>
    <t>SURVEYOR/LOSS ASSESSOR/VALUER</t>
  </si>
  <si>
    <t>Telephone Number</t>
  </si>
  <si>
    <t>License Number</t>
  </si>
  <si>
    <t>Surveyor's Detail:</t>
  </si>
  <si>
    <t>Policy  Details:</t>
  </si>
  <si>
    <t>Vehicle Details:</t>
  </si>
  <si>
    <t>NATIONAL INSURANCE COMPANY LTD.</t>
  </si>
  <si>
    <t>UNLADEN WEIGHT</t>
  </si>
  <si>
    <t>ASSESSED FOR</t>
  </si>
  <si>
    <t>DEPRECIATION APPLICABLE FOR METAL PARTS :</t>
  </si>
  <si>
    <t>Dear Sir,</t>
  </si>
  <si>
    <t xml:space="preserve">                   My report as detailed hereunder.</t>
  </si>
  <si>
    <t>Others(If any Please specify)</t>
  </si>
  <si>
    <t>Sl No.</t>
  </si>
  <si>
    <t>List of Damaged Parts</t>
  </si>
  <si>
    <t>Job Type</t>
  </si>
  <si>
    <t>Total Amount</t>
  </si>
  <si>
    <t>Labour Charges For Painting Only :</t>
  </si>
  <si>
    <t>Painting</t>
  </si>
  <si>
    <t>Labour Charges:</t>
  </si>
  <si>
    <t>Others (Specify)</t>
  </si>
  <si>
    <t>CONVEYANCE EXPENSE</t>
  </si>
  <si>
    <t>Driver Details</t>
  </si>
  <si>
    <t>Accident Details</t>
  </si>
  <si>
    <t>Issued on</t>
  </si>
  <si>
    <t>Type of License</t>
  </si>
  <si>
    <t>Issuing Authority</t>
  </si>
  <si>
    <t>To</t>
  </si>
  <si>
    <t>cc</t>
  </si>
  <si>
    <t>Kgs</t>
  </si>
  <si>
    <t>Persons</t>
  </si>
  <si>
    <t>Not Applicable</t>
  </si>
  <si>
    <t>VEHICLE NO.</t>
  </si>
  <si>
    <t xml:space="preserve">PERIOD OF INSURANCE  </t>
  </si>
  <si>
    <t>DRIVER'S NAME</t>
  </si>
  <si>
    <t>SURVEYOR'S COMMENTS ON DISALLOWED/WEAR &amp; TEAR/OLD DAMAGES</t>
  </si>
  <si>
    <t>Please change the Date &amp; Currency settings of your systems for easy usage of this tool( First time only)</t>
  </si>
  <si>
    <t xml:space="preserve">Mobile Number  </t>
  </si>
  <si>
    <t xml:space="preserve">License Number  </t>
  </si>
  <si>
    <t xml:space="preserve">Telephone Number </t>
  </si>
  <si>
    <t xml:space="preserve">Date of Expiry  </t>
  </si>
  <si>
    <t xml:space="preserve">Email Id  </t>
  </si>
  <si>
    <t xml:space="preserve">INSURER  </t>
  </si>
  <si>
    <t xml:space="preserve">INSURED  </t>
  </si>
  <si>
    <t xml:space="preserve">POLICY NO.  </t>
  </si>
  <si>
    <t xml:space="preserve">VEHICLE DETAILS </t>
  </si>
  <si>
    <t xml:space="preserve">REGISTRATION NO.  </t>
  </si>
  <si>
    <t xml:space="preserve">REGISTRATION DATE  </t>
  </si>
  <si>
    <t xml:space="preserve">CHASSIS NUMBER  </t>
  </si>
  <si>
    <t xml:space="preserve">ENGINE NUMBER  </t>
  </si>
  <si>
    <t xml:space="preserve">MAKE/MODEL  </t>
  </si>
  <si>
    <t xml:space="preserve">TYPE OF BODY  </t>
  </si>
  <si>
    <t xml:space="preserve">CUBIC CAPACITY  </t>
  </si>
  <si>
    <t xml:space="preserve">TAX PAID UPTO  </t>
  </si>
  <si>
    <t xml:space="preserve">SEATING CAPACITY  </t>
  </si>
  <si>
    <t xml:space="preserve">DRIVERS DETAILS  </t>
  </si>
  <si>
    <t xml:space="preserve">NAME OF DRIVER  </t>
  </si>
  <si>
    <t xml:space="preserve">M.D.L NUMBER  </t>
  </si>
  <si>
    <t xml:space="preserve">DATE OF ISSUE  </t>
  </si>
  <si>
    <t xml:space="preserve">VALID UPTO  </t>
  </si>
  <si>
    <t xml:space="preserve">ISSUING AUTHORITY  </t>
  </si>
  <si>
    <t xml:space="preserve">TYPE OF LICENSE  </t>
  </si>
  <si>
    <t xml:space="preserve">ACCIDENT AND SURVEY DETAILS  </t>
  </si>
  <si>
    <t xml:space="preserve">DATE OF ACCIDENT  </t>
  </si>
  <si>
    <t xml:space="preserve">PLACE OF ACCIDENT  </t>
  </si>
  <si>
    <t xml:space="preserve">DATE OF SURVEY </t>
  </si>
  <si>
    <t xml:space="preserve">PLACE OF SURVEY  </t>
  </si>
  <si>
    <t xml:space="preserve">DATE OF APPOINTMENT  </t>
  </si>
  <si>
    <t xml:space="preserve">DATE OF REINSPECTION </t>
  </si>
  <si>
    <t xml:space="preserve">SUMMARY OF ASSESSMENTS </t>
  </si>
  <si>
    <t xml:space="preserve">TOTAL LABOUR CHARGES  </t>
  </si>
  <si>
    <t xml:space="preserve">TOWING CHARGES  </t>
  </si>
  <si>
    <t xml:space="preserve">LESS EXCESS  </t>
  </si>
  <si>
    <t xml:space="preserve">SALVAGE VALUE(IF ANY)  </t>
  </si>
  <si>
    <t xml:space="preserve">CAUSE AND NATURE  OF ACCIDENTS  </t>
  </si>
  <si>
    <t>PHYSICALLY NOTED NUMBERS  -</t>
  </si>
  <si>
    <t xml:space="preserve">Chassis Number  </t>
  </si>
  <si>
    <t xml:space="preserve">Engine Number  </t>
  </si>
  <si>
    <t xml:space="preserve">Odometer Reading  </t>
  </si>
  <si>
    <t xml:space="preserve">Battery Number  </t>
  </si>
  <si>
    <t xml:space="preserve">LIST OF DAMAGES  </t>
  </si>
  <si>
    <t>PAINT</t>
  </si>
  <si>
    <t>Date of survey</t>
  </si>
  <si>
    <t>Place of survey</t>
  </si>
  <si>
    <t>Driving licence number</t>
  </si>
  <si>
    <t>Valid upto</t>
  </si>
  <si>
    <t>Surveyor's Name</t>
  </si>
  <si>
    <t>Deputation of survey</t>
  </si>
  <si>
    <t>Insured</t>
  </si>
  <si>
    <t xml:space="preserve">Name of Surveyor </t>
  </si>
  <si>
    <t xml:space="preserve">Policy Number </t>
  </si>
  <si>
    <t xml:space="preserve">Date of Accident </t>
  </si>
  <si>
    <t>Replacement of Parts :</t>
  </si>
  <si>
    <r>
      <rPr>
        <b/>
        <i/>
        <sz val="12"/>
        <color indexed="9"/>
        <rFont val="Calibri"/>
        <family val="2"/>
      </rPr>
      <t xml:space="preserve">Step 1 : </t>
    </r>
    <r>
      <rPr>
        <i/>
        <sz val="12"/>
        <color indexed="9"/>
        <rFont val="Calibri"/>
        <family val="2"/>
      </rPr>
      <t>Double click on</t>
    </r>
    <r>
      <rPr>
        <b/>
        <i/>
        <sz val="12"/>
        <color indexed="9"/>
        <rFont val="Calibri"/>
        <family val="2"/>
      </rPr>
      <t xml:space="preserve"> Control Panel
Step 2 :</t>
    </r>
    <r>
      <rPr>
        <i/>
        <sz val="12"/>
        <color indexed="9"/>
        <rFont val="Calibri"/>
        <family val="2"/>
      </rPr>
      <t>Select small icons in</t>
    </r>
    <r>
      <rPr>
        <b/>
        <i/>
        <sz val="12"/>
        <color indexed="9"/>
        <rFont val="Calibri"/>
        <family val="2"/>
      </rPr>
      <t xml:space="preserve"> View By options(Right top Side ) -
Step 3 :</t>
    </r>
    <r>
      <rPr>
        <i/>
        <sz val="12"/>
        <color indexed="9"/>
        <rFont val="Calibri"/>
        <family val="2"/>
      </rPr>
      <t>Select</t>
    </r>
    <r>
      <rPr>
        <b/>
        <i/>
        <sz val="12"/>
        <color indexed="9"/>
        <rFont val="Calibri"/>
        <family val="2"/>
      </rPr>
      <t xml:space="preserve"> Region and Language</t>
    </r>
    <r>
      <rPr>
        <i/>
        <sz val="12"/>
        <color indexed="9"/>
        <rFont val="Calibri"/>
        <family val="2"/>
      </rPr>
      <t xml:space="preserve"> icon 
</t>
    </r>
    <r>
      <rPr>
        <b/>
        <i/>
        <sz val="12"/>
        <color indexed="9"/>
        <rFont val="Calibri"/>
        <family val="2"/>
      </rPr>
      <t xml:space="preserve">Step 4 : </t>
    </r>
    <r>
      <rPr>
        <i/>
        <sz val="12"/>
        <color indexed="9"/>
        <rFont val="Calibri"/>
        <family val="2"/>
      </rPr>
      <t xml:space="preserve">In </t>
    </r>
    <r>
      <rPr>
        <b/>
        <i/>
        <sz val="12"/>
        <color indexed="9"/>
        <rFont val="Calibri"/>
        <family val="2"/>
      </rPr>
      <t xml:space="preserve">Format tab </t>
    </r>
    <r>
      <rPr>
        <i/>
        <sz val="12"/>
        <color indexed="9"/>
        <rFont val="Calibri"/>
        <family val="2"/>
      </rPr>
      <t>select "</t>
    </r>
    <r>
      <rPr>
        <b/>
        <i/>
        <sz val="12"/>
        <color indexed="9"/>
        <rFont val="Calibri"/>
        <family val="2"/>
      </rPr>
      <t>English(India)</t>
    </r>
    <r>
      <rPr>
        <i/>
        <sz val="12"/>
        <color indexed="9"/>
        <rFont val="Calibri"/>
        <family val="2"/>
      </rPr>
      <t xml:space="preserve">" option
</t>
    </r>
    <r>
      <rPr>
        <b/>
        <i/>
        <sz val="12"/>
        <color indexed="9"/>
        <rFont val="Calibri"/>
        <family val="2"/>
      </rPr>
      <t>Step 5 :</t>
    </r>
    <r>
      <rPr>
        <i/>
        <sz val="12"/>
        <color indexed="9"/>
        <rFont val="Calibri"/>
        <family val="2"/>
      </rPr>
      <t>Click on Ad</t>
    </r>
    <r>
      <rPr>
        <b/>
        <i/>
        <sz val="12"/>
        <color indexed="9"/>
        <rFont val="Calibri"/>
        <family val="2"/>
      </rPr>
      <t xml:space="preserve">ditional settings- 
1. Date Settings: Select Date tab- Select Short date format as "dd-MM-yyyy"
2.Currency Settings: </t>
    </r>
    <r>
      <rPr>
        <i/>
        <sz val="12"/>
        <color indexed="9"/>
        <rFont val="Calibri"/>
        <family val="2"/>
      </rPr>
      <t xml:space="preserve">Select </t>
    </r>
    <r>
      <rPr>
        <b/>
        <i/>
        <sz val="12"/>
        <color indexed="9"/>
        <rFont val="Calibri"/>
        <family val="2"/>
      </rPr>
      <t xml:space="preserve">Currency tab- </t>
    </r>
    <r>
      <rPr>
        <i/>
        <sz val="12"/>
        <color indexed="9"/>
        <rFont val="Calibri"/>
        <family val="2"/>
      </rPr>
      <t xml:space="preserve">In </t>
    </r>
    <r>
      <rPr>
        <b/>
        <i/>
        <sz val="12"/>
        <color indexed="9"/>
        <rFont val="Calibri"/>
        <family val="2"/>
      </rPr>
      <t>Currency Symbol</t>
    </r>
    <r>
      <rPr>
        <i/>
        <sz val="12"/>
        <color indexed="9"/>
        <rFont val="Calibri"/>
        <family val="2"/>
      </rPr>
      <t xml:space="preserve"> select </t>
    </r>
    <r>
      <rPr>
        <b/>
        <i/>
        <sz val="12"/>
        <color indexed="9"/>
        <rFont val="Calibri"/>
        <family val="2"/>
      </rPr>
      <t xml:space="preserve">"Rs." </t>
    </r>
    <r>
      <rPr>
        <i/>
        <sz val="12"/>
        <color indexed="9"/>
        <rFont val="Calibri"/>
        <family val="2"/>
      </rPr>
      <t>options</t>
    </r>
    <r>
      <rPr>
        <b/>
        <i/>
        <sz val="12"/>
        <color indexed="9"/>
        <rFont val="Calibri"/>
        <family val="2"/>
      </rPr>
      <t xml:space="preserve"> - </t>
    </r>
    <r>
      <rPr>
        <i/>
        <sz val="12"/>
        <color indexed="9"/>
        <rFont val="Calibri"/>
        <family val="2"/>
      </rPr>
      <t xml:space="preserve">Click </t>
    </r>
    <r>
      <rPr>
        <b/>
        <i/>
        <sz val="12"/>
        <color indexed="9"/>
        <rFont val="Calibri"/>
        <family val="2"/>
      </rPr>
      <t>Ok</t>
    </r>
  </si>
  <si>
    <t>Reinspection</t>
  </si>
  <si>
    <t>Spot Survey</t>
  </si>
  <si>
    <t>Videography</t>
  </si>
  <si>
    <t>STATUS REPORT</t>
  </si>
  <si>
    <t>SURVEY FEE BILL</t>
  </si>
  <si>
    <t>Customer Money Receipt Amount</t>
  </si>
  <si>
    <t xml:space="preserve">The aforesaid insured's vehicle number </t>
  </si>
  <si>
    <t>was Re-inspected on</t>
  </si>
  <si>
    <t>Thanking You,</t>
  </si>
  <si>
    <t>Yours faithfully,</t>
  </si>
  <si>
    <t xml:space="preserve">     Surveyor</t>
  </si>
  <si>
    <t>REFERENCE NUMBER</t>
  </si>
  <si>
    <t>DATE OF REPORT</t>
  </si>
  <si>
    <t xml:space="preserve"> </t>
  </si>
  <si>
    <t>Yes</t>
  </si>
  <si>
    <t>to conduct Final Survey &amp; Assessment of loss of the above mentioned vehicle, the Undersigned collected</t>
  </si>
  <si>
    <t>PHOTO IDENTITY/ COMMENT</t>
  </si>
  <si>
    <t>1. DOCUMENTS: Related papers of the vehicle and Driving Licence verified from original(As produced).</t>
  </si>
  <si>
    <t>2. T.P LOSS/ INJURY  :</t>
  </si>
  <si>
    <t>3. POLICE REPORT  :</t>
  </si>
  <si>
    <t>/Photo</t>
  </si>
  <si>
    <t>TOTAL (ROUNDED OFF)</t>
  </si>
  <si>
    <t>Comments(If any):</t>
  </si>
  <si>
    <t>Address Line</t>
  </si>
  <si>
    <t>License No</t>
  </si>
  <si>
    <t>SALVAGE VALUE(IF APPLICABLE)</t>
  </si>
  <si>
    <t>COMPULSORY STANDARD EXCESS</t>
  </si>
  <si>
    <t>Total Assessed Amount</t>
  </si>
  <si>
    <t>RECOMMENDATION:</t>
  </si>
  <si>
    <t>Net liability admissible  is</t>
  </si>
  <si>
    <t>Photo of Damaged Parts</t>
  </si>
  <si>
    <t>Photo of Replaced Parts</t>
  </si>
  <si>
    <t>Photo Identification</t>
  </si>
  <si>
    <t>This concludes my report which is being issued without prejudice, subject to the terms and conditions of the Insurance policy and final approval of the insurer.</t>
  </si>
  <si>
    <t xml:space="preserve">after being intimated by the Repairer. I have inspected the vehicle minutely and found that the repairings </t>
  </si>
  <si>
    <t xml:space="preserve"> seemly and satisfactorily. All the mechanical &amp; electrical/electronics systems/units are working properly </t>
  </si>
  <si>
    <t xml:space="preserve">  replaced as per our recommendation:</t>
  </si>
  <si>
    <t>Telephone No</t>
  </si>
  <si>
    <t>No of Final Survey Photo</t>
  </si>
  <si>
    <t xml:space="preserve">DETAILS OF ASSESSMENT:- </t>
  </si>
  <si>
    <t>OBSERVATION(If any):</t>
  </si>
  <si>
    <t>No</t>
  </si>
  <si>
    <t>Account Number</t>
  </si>
  <si>
    <t>PAN Detail</t>
  </si>
  <si>
    <t>IFSC Code</t>
  </si>
  <si>
    <t>Paint Material Cost applicable for depreciation</t>
  </si>
  <si>
    <t>Please Use apostrophe ' followed by Account Number. For e.g: '0459053000100705</t>
  </si>
  <si>
    <t>Submitted to National Insurance Company Limited</t>
  </si>
  <si>
    <t>PLACE OF ACCIDENT</t>
  </si>
  <si>
    <t>REASON FOR REPLACEMENT</t>
  </si>
  <si>
    <t>NAME OF PARTS</t>
  </si>
  <si>
    <t>MATERIAL OF PARTS</t>
  </si>
  <si>
    <t>IMPOSED EXCESS</t>
  </si>
  <si>
    <t>VOLUNTARY EXCESS</t>
  </si>
  <si>
    <t>IDV OF VEHICLE</t>
  </si>
  <si>
    <t>SPOT SURVEY</t>
  </si>
  <si>
    <t>ASSESSED VALUE</t>
  </si>
  <si>
    <t>Passed For Payment</t>
  </si>
  <si>
    <t>Competant Authority</t>
  </si>
  <si>
    <t>Rs_______________</t>
  </si>
  <si>
    <t xml:space="preserve">In accordance with valued instruction received from </t>
  </si>
  <si>
    <t>DRIVING LICENSE</t>
  </si>
  <si>
    <t>Abbreviations for Licence in India:</t>
  </si>
  <si>
    <t>Two wheel:</t>
  </si>
  <si>
    <t>MC or MCWOG: Motorcycle Without Gear</t>
  </si>
  <si>
    <t>MCWG or M/CYCL.WG: Motorcycle With Gear</t>
  </si>
  <si>
    <t>Three/four wheel:</t>
  </si>
  <si>
    <t>ARNT: Auto Rickshaw – Non Transport</t>
  </si>
  <si>
    <t>ART: Auto Rickshaw – Transport</t>
  </si>
  <si>
    <t>LMV-NT: Light Motor Vehicle – Non Transport</t>
  </si>
  <si>
    <t>LMV-T: Light Motor Vehicle – Transport</t>
  </si>
  <si>
    <t>MGV: Medium Goods Vehicle</t>
  </si>
  <si>
    <t>MPV: Medium Passenger Vehicle</t>
  </si>
  <si>
    <t>Heavy Motor Vehicle:</t>
  </si>
  <si>
    <t>HGV: Heavy Good Vehicle</t>
  </si>
  <si>
    <t>HPV: Heavy Passenger Vehicle</t>
  </si>
  <si>
    <t>HTV: Heavy Transport Vehicle (Valid for Goods and Passenger Vehicles)</t>
  </si>
  <si>
    <t>HZRD: Heavy Transport Vehicle with Hazardous materials</t>
  </si>
  <si>
    <t>TR: Tractor</t>
  </si>
  <si>
    <t>RDRLR: Road Roller</t>
  </si>
  <si>
    <t>DEPRECIATED COST OF METAL PARTS</t>
  </si>
  <si>
    <t>DEPRECIATED COST OF  NON METAL PARTS</t>
  </si>
  <si>
    <t xml:space="preserve">Surveyor's Signature </t>
  </si>
  <si>
    <t>Surveyor's Signature</t>
  </si>
  <si>
    <t>Reason For Replacement Comment/Estimated Cost</t>
  </si>
  <si>
    <t>PRIVATE AND CONFIDENTIAL MOTOR (REINSPECTION) SURVEY REPORT</t>
  </si>
  <si>
    <t>Details of Damage and Labour Assessment</t>
  </si>
  <si>
    <t>LABOUR AND PARTS  ASSESSMENT SHEET</t>
  </si>
  <si>
    <t>Dep %</t>
  </si>
  <si>
    <t>ESTIMATED COST</t>
  </si>
  <si>
    <t>BILLED AMOUNT</t>
  </si>
  <si>
    <t>COST OF PAINT MATERIAL</t>
  </si>
  <si>
    <t>TO</t>
  </si>
  <si>
    <t>TYPE OF POLICY</t>
  </si>
  <si>
    <t>ENGINE NO</t>
  </si>
  <si>
    <t>INTIMATION DATE</t>
  </si>
  <si>
    <t>CLAIM DETAILS:</t>
  </si>
  <si>
    <t>DRIVERS DETAILS:</t>
  </si>
  <si>
    <t>VEHICLE DETAILS:</t>
  </si>
  <si>
    <t>POLICY DETAILS:</t>
  </si>
  <si>
    <t>Please note that this part should be only used when Cost of Paint material is provided separately in Bill.</t>
  </si>
  <si>
    <t>This part automatically comes when Labour charge is only charged. Only we need to select Depreciation is applicable in Labour Assessment Sheet.</t>
  </si>
  <si>
    <t>Billed  Amount</t>
  </si>
  <si>
    <t>TOTAL REPLACEMENT OF PARTS  INCLUDING PAINT MATERIAL</t>
  </si>
  <si>
    <t xml:space="preserve">Billed  Amount </t>
  </si>
  <si>
    <t>Estimated Amount</t>
  </si>
  <si>
    <t xml:space="preserve">Estimated Amount </t>
  </si>
  <si>
    <t>PAN CARD</t>
  </si>
  <si>
    <t>National Insurance Company Ltd</t>
  </si>
  <si>
    <t>NO. OF CLAIM(S)</t>
  </si>
  <si>
    <t>VEHICLE SALE DATE</t>
  </si>
  <si>
    <t>EXPECTED DATE OF DELIVERY OF ACCIDENTED VEHICLE</t>
  </si>
  <si>
    <t>64VB</t>
  </si>
  <si>
    <t>POLICY COPY</t>
  </si>
  <si>
    <t>Age of Vehicle</t>
  </si>
  <si>
    <t>DEPRECIATED COST OF GLASS PARTS</t>
  </si>
  <si>
    <t xml:space="preserve"> YEARS</t>
  </si>
  <si>
    <t>CLAIM NUMBER</t>
  </si>
  <si>
    <t>INSURED NAME</t>
  </si>
  <si>
    <t>Comments</t>
  </si>
  <si>
    <t xml:space="preserve"> Surveyor's Assessed Amount</t>
  </si>
  <si>
    <t>Final Assesment Amount</t>
  </si>
  <si>
    <t xml:space="preserve">NATIONAL INSURANCE COMPANY LTD.
Assessment Sheet    </t>
  </si>
  <si>
    <t xml:space="preserve"> SURVEYOR'S ASSESSED AMOUNT</t>
  </si>
  <si>
    <t>FINAL ASSESMENT</t>
  </si>
  <si>
    <t>Whether Painting charged on Lumpsum basis?</t>
  </si>
  <si>
    <t>FINAL ASSESSMENT</t>
  </si>
  <si>
    <t>Vehicle Reg. Number</t>
  </si>
  <si>
    <t>(For Internal Use only)</t>
  </si>
  <si>
    <t>User can Modify This</t>
  </si>
  <si>
    <t>MCOW : Motor Cycle without Gear</t>
  </si>
  <si>
    <t>MCWG : Motor Cycle with Gear</t>
  </si>
  <si>
    <t>LMV-NT : Light Motor Vehicle - Non Transport)</t>
  </si>
  <si>
    <t>LMV-T : Light Motor Vehicle - Transport</t>
  </si>
  <si>
    <t>HMV : Heavy Motor Vehicle</t>
  </si>
  <si>
    <t>Others</t>
  </si>
  <si>
    <t>LMV : Light Motor Vehicle (Pvt)</t>
  </si>
  <si>
    <t>LMV : Light Motor Vehicle (Prof)</t>
  </si>
  <si>
    <t>Driving License Type</t>
  </si>
  <si>
    <t>NO</t>
  </si>
  <si>
    <t>REGISTRATION CERTIFICATE/TAX TOKEN</t>
  </si>
  <si>
    <t>INSURED's PHONE NO.</t>
  </si>
  <si>
    <t>EMAIL ID</t>
  </si>
  <si>
    <t>DOCUMENT VERIFIED?</t>
  </si>
  <si>
    <t>Labour Charge for Damaged Parts</t>
  </si>
  <si>
    <t>BREAK INSPECTION REPORT APPLICABLE?</t>
  </si>
  <si>
    <t>Is Break Inspection Report attached?</t>
  </si>
  <si>
    <t>AMBULANCE</t>
  </si>
  <si>
    <t>MCWG/LMV : Light Motor Vehicle(Prof) &amp; Motor Cycle with Gear</t>
  </si>
  <si>
    <t>MCWG/LMV : Light Motor Vehicle &amp; Motor Cycle with Gear</t>
  </si>
  <si>
    <t>Anuj Kumar</t>
  </si>
  <si>
    <t>anujkumar2259@gmail.com</t>
  </si>
  <si>
    <t>Abhay Kumar</t>
  </si>
  <si>
    <t>Amar Kant Jha</t>
  </si>
  <si>
    <t>Ashutosh Kumar</t>
  </si>
  <si>
    <t>Babu Lal Prasad</t>
  </si>
  <si>
    <t>Balbir Singh</t>
  </si>
  <si>
    <t>Binay Kumar</t>
  </si>
  <si>
    <t>Chandra Churamani Upadhyay</t>
  </si>
  <si>
    <t>Dilip Kumar Sinha</t>
  </si>
  <si>
    <t>Kundan Karmvir</t>
  </si>
  <si>
    <t>Prem Kumar Sharma</t>
  </si>
  <si>
    <t>Rajiv Kumar</t>
  </si>
  <si>
    <t>Sanjay Kumar Singh</t>
  </si>
  <si>
    <t>Shailesh Kumar</t>
  </si>
  <si>
    <t>Someshwar Kumar</t>
  </si>
  <si>
    <t>Sunil Kumar</t>
  </si>
  <si>
    <t>Upendra Narayan Singh</t>
  </si>
  <si>
    <t>SBIN0004070</t>
  </si>
  <si>
    <t>ABXPK3831D</t>
  </si>
  <si>
    <t>SL</t>
  </si>
  <si>
    <t>B/4, Flat No.404, PRDA Apartment, South S K Puri, Patna-800001</t>
  </si>
  <si>
    <t>Remarks, if any</t>
  </si>
  <si>
    <t>09431020343/7543033389</t>
  </si>
  <si>
    <t>0612-2292353</t>
  </si>
  <si>
    <t>ccm_upadhyay_1961@yahoo.co.in/ccmupadhyay@gmail.com</t>
  </si>
  <si>
    <t>SBIN 0007945</t>
  </si>
  <si>
    <t>AAGPU7483D</t>
  </si>
  <si>
    <t>sk.nandn@gmail.com</t>
  </si>
  <si>
    <t>IBKL0001020</t>
  </si>
  <si>
    <t>AHJPK0190K</t>
  </si>
  <si>
    <t>West Patel Nagar, Professors Colony, Patna-800023</t>
  </si>
  <si>
    <t>205, Deo Sidhi Plaza, Near Colony More, Main Road Kankarbagh, Patna-800020</t>
  </si>
  <si>
    <t>amarkantjha@yahoo.com</t>
  </si>
  <si>
    <t>IDIB000P027</t>
  </si>
  <si>
    <t>ABOPJ5205B</t>
  </si>
  <si>
    <t>37,Mithila Colony, Road No-5, Near Baba Chowk, Patel Nagar(North) Patna-800024</t>
  </si>
  <si>
    <t>kundankarmvir@gmail.com</t>
  </si>
  <si>
    <t>SBIN0001513</t>
  </si>
  <si>
    <t>AONPK5766L</t>
  </si>
  <si>
    <t>At:-Shivpuri,Panchmandir Lane,Shivpuri Patna-800023</t>
  </si>
  <si>
    <t>sharmapremkumar49@gmail.com</t>
  </si>
  <si>
    <t>PUNB0149900</t>
  </si>
  <si>
    <t>H/O Dip Narayan Singh -Opp SBI , Behind ,M/S Patliputra Enterprises ,Kankarbagh , Patna-800020</t>
  </si>
  <si>
    <t>AQFPS1525B</t>
  </si>
  <si>
    <t> NA</t>
  </si>
  <si>
    <t> ANNPS5129G</t>
  </si>
  <si>
    <t>C/O Vijayeshwar Pd. Road No. 1, Kankarbagh, Patna 800020</t>
  </si>
  <si>
    <t>singh.sanjay67@gmail.com</t>
  </si>
  <si>
    <t>someshwar_08@rediffmail.com</t>
  </si>
  <si>
    <t>H/O Manager Roy, Prof Colony, Punai Chak, Patna-800023</t>
  </si>
  <si>
    <t>unsingh.patna@gmail.com</t>
  </si>
  <si>
    <t>ORBC0100231</t>
  </si>
  <si>
    <t>AVNPS8480N</t>
  </si>
  <si>
    <t>B- 65, Biscomaun Colony, Patna- 800 007</t>
  </si>
  <si>
    <t>V' Niwas, Lane-1, Salimpur Ahra, Kadam kuan, Patna-800003</t>
  </si>
  <si>
    <t>shailesh64@in.com</t>
  </si>
  <si>
    <t>manishakuntalam@yahoo.co.in</t>
  </si>
  <si>
    <t xml:space="preserve">Manishakuntalam Kunj, L.B.Shastri Path,  Anishabad, Patna-800002 </t>
  </si>
  <si>
    <t>dilipsinha11k@gmail.com</t>
  </si>
  <si>
    <t>V/477, Vidyapuri, Kankarbagh, Patna-800020</t>
  </si>
  <si>
    <t>607, "B",  Block ,  Gagan   Appartment,  Exhibition  Road, Patna-800001</t>
  </si>
  <si>
    <t>binayfast@gmail.com</t>
  </si>
  <si>
    <t>erbalbir56@gmail.com</t>
  </si>
  <si>
    <t>Near Loyola School, Kurji, Patna</t>
  </si>
  <si>
    <t>Bank of India Colony, Raja Bazar, Patna</t>
  </si>
  <si>
    <t>ashutosh_swastic@yahoo.co.in</t>
  </si>
  <si>
    <t>Swastic Campus, Lane No: 3, Chandmari Road, Patna-800020</t>
  </si>
  <si>
    <t>abhay1284.2008@rediffmail.com</t>
  </si>
  <si>
    <t>Professors' Colony, House no.- NY / 110, Janta Road, New Yarpur, Patna - 800001</t>
  </si>
  <si>
    <t xml:space="preserve"> Estimated Loss</t>
  </si>
  <si>
    <t xml:space="preserve"> Date of intimation</t>
  </si>
  <si>
    <t xml:space="preserve"> Place of accident</t>
  </si>
  <si>
    <t xml:space="preserve"> Date of accident</t>
  </si>
  <si>
    <t xml:space="preserve"> Driver name</t>
  </si>
  <si>
    <t xml:space="preserve"> Reinspection Date(Optional)</t>
  </si>
  <si>
    <t xml:space="preserve"> Is there any FIR?</t>
  </si>
  <si>
    <t xml:space="preserve"> Cause of loss</t>
  </si>
  <si>
    <t xml:space="preserve"> Registration Number</t>
  </si>
  <si>
    <t xml:space="preserve"> Registration Date</t>
  </si>
  <si>
    <t xml:space="preserve"> Vehicle Sale Date</t>
  </si>
  <si>
    <t xml:space="preserve"> Chassis Number</t>
  </si>
  <si>
    <t xml:space="preserve"> Engine Number</t>
  </si>
  <si>
    <t xml:space="preserve"> Make/Model</t>
  </si>
  <si>
    <t xml:space="preserve"> Cubic Capacity</t>
  </si>
  <si>
    <t xml:space="preserve"> Tax Paid Upto</t>
  </si>
  <si>
    <t xml:space="preserve"> Type of body</t>
  </si>
  <si>
    <t xml:space="preserve"> Pre-Accident Condition</t>
  </si>
  <si>
    <t xml:space="preserve"> 64 VB Compliance</t>
  </si>
  <si>
    <t xml:space="preserve"> CLAIM NUMBER</t>
  </si>
  <si>
    <t xml:space="preserve"> POLICY NUMBER</t>
  </si>
  <si>
    <t xml:space="preserve"> NAME OF INSURED</t>
  </si>
  <si>
    <t xml:space="preserve"> INSURED'S PHONE NO.</t>
  </si>
  <si>
    <t xml:space="preserve"> INSURED'S Email ID</t>
  </si>
  <si>
    <t xml:space="preserve"> TYPE OF PRIVATE VEHICLE</t>
  </si>
  <si>
    <t xml:space="preserve"> PERIOD OF INSURANCE</t>
  </si>
  <si>
    <t xml:space="preserve"> IDV OF VEHICLE</t>
  </si>
  <si>
    <t xml:space="preserve"> NO. OF CLAIM(S)</t>
  </si>
  <si>
    <t xml:space="preserve"> IMPOSED EXCESS</t>
  </si>
  <si>
    <t xml:space="preserve"> VOLUNTARY EXCESS</t>
  </si>
  <si>
    <t xml:space="preserve"> COMPULSORY EXCESS </t>
  </si>
  <si>
    <t>&gt; 1500</t>
  </si>
  <si>
    <t>UPTO 1500</t>
  </si>
  <si>
    <t>TAXI</t>
  </si>
  <si>
    <t>GOODS CARRYING VEHICLE</t>
  </si>
  <si>
    <t>PASSENGER CARRYING VEHICLE</t>
  </si>
  <si>
    <t>PRIVATE CAR</t>
  </si>
  <si>
    <t>TWO WHEELER</t>
  </si>
  <si>
    <t>7501-16500</t>
  </si>
  <si>
    <t>&gt;16500</t>
  </si>
  <si>
    <t>18-36</t>
  </si>
  <si>
    <t>&gt;36</t>
  </si>
  <si>
    <t xml:space="preserve"> Unladen Weight (GVW)</t>
  </si>
  <si>
    <t xml:space="preserve"> Seating Capacity/Passenger</t>
  </si>
  <si>
    <t>&lt;=7500 Kg</t>
  </si>
  <si>
    <t>&lt;=17 Passenger</t>
  </si>
  <si>
    <t>IDV</t>
  </si>
  <si>
    <t>Passenger</t>
  </si>
  <si>
    <t>Cc</t>
  </si>
  <si>
    <t>GVW</t>
  </si>
  <si>
    <t>Excess Code</t>
  </si>
  <si>
    <t>Excess</t>
  </si>
  <si>
    <t>Mixed Code</t>
  </si>
  <si>
    <t>POLICY EXCESS CALCULATION</t>
  </si>
  <si>
    <t>POLICY EXCESS CALCULATION LOGIC</t>
  </si>
  <si>
    <t>Developed by:</t>
  </si>
  <si>
    <t>PTRO</t>
  </si>
  <si>
    <t>CNRB0002819</t>
  </si>
  <si>
    <t>AEKPK1124P</t>
  </si>
  <si>
    <t>BDOPK2556F</t>
  </si>
  <si>
    <t>AGTPP9531A</t>
  </si>
  <si>
    <t>SBIN0003563</t>
  </si>
  <si>
    <t>0612-2582389</t>
  </si>
  <si>
    <t>02312010010260</t>
  </si>
  <si>
    <t>SBIN0009005</t>
  </si>
  <si>
    <t>APZPS2395Q</t>
  </si>
  <si>
    <t>SBIN0001435</t>
  </si>
  <si>
    <t>AGXPK2675G</t>
  </si>
  <si>
    <t>PUNB0296800</t>
  </si>
  <si>
    <t>2968000100026750</t>
  </si>
  <si>
    <t>AGJPK0198A</t>
  </si>
  <si>
    <t>Insured Name</t>
  </si>
  <si>
    <t>Policy No.</t>
  </si>
  <si>
    <t>Expiry Date</t>
  </si>
  <si>
    <t>Reg. No.</t>
  </si>
  <si>
    <t>Model</t>
  </si>
  <si>
    <t>Date of Accident</t>
  </si>
  <si>
    <t>DL Copy</t>
  </si>
  <si>
    <t>Policy Copy</t>
  </si>
  <si>
    <t>FIR Copy</t>
  </si>
  <si>
    <t>Reg. Copy</t>
  </si>
  <si>
    <t>64 VB</t>
  </si>
  <si>
    <t>Invoice</t>
  </si>
  <si>
    <t>Photographs</t>
  </si>
  <si>
    <t>Satisfaction Voucher</t>
  </si>
  <si>
    <t>Estimate</t>
  </si>
  <si>
    <t xml:space="preserve">Claim Form Duly Filled </t>
  </si>
  <si>
    <t>Survey Date</t>
  </si>
  <si>
    <t>Final Survey</t>
  </si>
  <si>
    <t>Reinspection Survey</t>
  </si>
  <si>
    <t>Money Receipt</t>
  </si>
  <si>
    <t>Difference</t>
  </si>
  <si>
    <t>Claim No.</t>
  </si>
  <si>
    <t>Document Submitted</t>
  </si>
  <si>
    <t>Assessment</t>
  </si>
  <si>
    <t>Dealer</t>
  </si>
  <si>
    <t>Colour</t>
  </si>
  <si>
    <t>No. of New Panels</t>
  </si>
  <si>
    <t>Vehicle No.</t>
  </si>
  <si>
    <t>No. of Old Panels</t>
  </si>
  <si>
    <t>Other Panels</t>
  </si>
  <si>
    <t>Panel Name</t>
  </si>
  <si>
    <t>Total</t>
  </si>
  <si>
    <t>For Alankar</t>
  </si>
  <si>
    <t>Paint Material Rate (Per Unit)</t>
  </si>
  <si>
    <t>PAINTING SCHEDULE</t>
  </si>
  <si>
    <t>Select</t>
  </si>
  <si>
    <t>Ertiga</t>
  </si>
  <si>
    <t>Ritz</t>
  </si>
  <si>
    <t>Swift</t>
  </si>
  <si>
    <t>Esteem</t>
  </si>
  <si>
    <t>SX4</t>
  </si>
  <si>
    <t>Kizashi</t>
  </si>
  <si>
    <t>Omni</t>
  </si>
  <si>
    <t>Celerio</t>
  </si>
  <si>
    <t>Ciaz</t>
  </si>
  <si>
    <t>S-Cross</t>
  </si>
  <si>
    <t>Bumper</t>
  </si>
  <si>
    <t>Bonnet</t>
  </si>
  <si>
    <t>Fender</t>
  </si>
  <si>
    <t>Roof</t>
  </si>
  <si>
    <t>Full Car Painting</t>
  </si>
  <si>
    <t>Panel Description</t>
  </si>
  <si>
    <t>Column No.</t>
  </si>
  <si>
    <t>Non Metalic Rate</t>
  </si>
  <si>
    <t>Paint Type</t>
  </si>
  <si>
    <t>Metallic</t>
  </si>
  <si>
    <t>Non Metallic</t>
  </si>
  <si>
    <t>New</t>
  </si>
  <si>
    <t>PMW</t>
  </si>
  <si>
    <t>Old</t>
  </si>
  <si>
    <t>Minor/Touch up</t>
  </si>
  <si>
    <t>Alankar</t>
  </si>
  <si>
    <t>Karlo</t>
  </si>
  <si>
    <t>Vaus</t>
  </si>
  <si>
    <t>City Auto</t>
  </si>
  <si>
    <t>Good Wrench</t>
  </si>
  <si>
    <t>Tirupati</t>
  </si>
  <si>
    <t>Workshop's Name</t>
  </si>
  <si>
    <t>Workshop Column</t>
  </si>
  <si>
    <t>Zero Depr</t>
  </si>
  <si>
    <t>Paint Material</t>
  </si>
  <si>
    <t>Model Code</t>
  </si>
  <si>
    <t>Painting % (M/NM/PMW)</t>
  </si>
  <si>
    <t>All</t>
  </si>
  <si>
    <t>Panels</t>
  </si>
  <si>
    <t>Discounts</t>
  </si>
  <si>
    <t>Search Column</t>
  </si>
  <si>
    <t>No.Of Old Panel</t>
  </si>
  <si>
    <t>Discount</t>
  </si>
  <si>
    <t>CALCULATION</t>
  </si>
  <si>
    <t>Name of Scheduled Panels</t>
  </si>
  <si>
    <t>Panel Type</t>
  </si>
  <si>
    <t>Bumper (Y/N)</t>
  </si>
  <si>
    <t>Discount Code</t>
  </si>
  <si>
    <t>Discount %</t>
  </si>
  <si>
    <t>Scheduled Rate</t>
  </si>
  <si>
    <t>Discounted Rate</t>
  </si>
  <si>
    <t>Painting (Labour)</t>
  </si>
  <si>
    <t xml:space="preserve"> Colour of Vehicle</t>
  </si>
  <si>
    <t xml:space="preserve">COLOUR OF VEHICLE  </t>
  </si>
  <si>
    <t>Checked By:</t>
  </si>
  <si>
    <t>Surveyor Detail</t>
  </si>
  <si>
    <t>SBIN0007506</t>
  </si>
  <si>
    <t>SBIN0004445</t>
  </si>
  <si>
    <t>AGLPK0913D</t>
  </si>
  <si>
    <t>AGNPS6095G</t>
  </si>
  <si>
    <t>UBIN545325</t>
  </si>
  <si>
    <t>Sanjay K Singh (II)</t>
  </si>
  <si>
    <t>R-11, Jagat Vihar Colony, Ashiana Nagar, Patna-800025</t>
  </si>
  <si>
    <t>sanjaysingh.surveyor@gmail.com</t>
  </si>
  <si>
    <t>010238640005</t>
  </si>
  <si>
    <t>AHRPS6966R</t>
  </si>
  <si>
    <t>SAATH, Patna</t>
  </si>
  <si>
    <t xml:space="preserve">Developed by SAATH, Patna.
</t>
  </si>
  <si>
    <t>Developed by SAATH, Patna.</t>
  </si>
  <si>
    <t>NO. OF CLAIM</t>
  </si>
  <si>
    <t>Developed by  SAATH, Patna.</t>
  </si>
  <si>
    <t>SBIN0009004</t>
  </si>
  <si>
    <t>FRP</t>
  </si>
  <si>
    <t>GLASS</t>
  </si>
  <si>
    <t>PLASTIC</t>
  </si>
  <si>
    <t>METAL</t>
  </si>
  <si>
    <t>RUBBER</t>
  </si>
  <si>
    <t>FIBER</t>
  </si>
  <si>
    <t>TIEUP PARTNER</t>
  </si>
  <si>
    <t>Rajesh Kumar Jha</t>
  </si>
  <si>
    <t>409, Sheela Residecy, Vishnudev Marg, East Boring Canal Road, Patna-800001</t>
  </si>
  <si>
    <t>rajeshjha933@gmail.com</t>
  </si>
  <si>
    <t>ADGPJ8664C</t>
  </si>
  <si>
    <t>Please fill your data in the Surveyor Master Sheet</t>
  </si>
  <si>
    <t>PRINTING DATE</t>
  </si>
  <si>
    <t>DO / Liability Letter</t>
  </si>
  <si>
    <t>To,</t>
  </si>
  <si>
    <t>Thanks &amp; Regards</t>
  </si>
  <si>
    <t>National Insurance Co Ltd</t>
  </si>
  <si>
    <t>With reference to the above claim details, our liability towards the above Claim as below. Request you to deliver the vehicle by collecting difference amount.</t>
  </si>
  <si>
    <t>Patna</t>
  </si>
  <si>
    <t>Date :</t>
  </si>
  <si>
    <r>
      <t>We shall release the payment within 7 working days (</t>
    </r>
    <r>
      <rPr>
        <b/>
        <sz val="11"/>
        <color theme="1"/>
        <rFont val="Calibri"/>
        <family val="2"/>
        <scheme val="minor"/>
      </rPr>
      <t>if claim amount is &lt;1.50 Lakh</t>
    </r>
    <r>
      <rPr>
        <sz val="11"/>
        <color theme="1"/>
        <rFont val="Calibri"/>
        <family val="2"/>
        <scheme val="minor"/>
      </rPr>
      <t>)/ 14 working days (</t>
    </r>
    <r>
      <rPr>
        <b/>
        <sz val="11"/>
        <color theme="1"/>
        <rFont val="Calibri"/>
        <family val="2"/>
        <scheme val="minor"/>
      </rPr>
      <t>if claim amount &gt;1.5 LAKH</t>
    </r>
    <r>
      <rPr>
        <sz val="11"/>
        <color theme="1"/>
        <rFont val="Calibri"/>
        <family val="2"/>
        <scheme val="minor"/>
      </rPr>
      <t>) from the date of receipt of last relative document and money receipt.</t>
    </r>
  </si>
  <si>
    <t>Dated :</t>
  </si>
  <si>
    <t>NATIONAL INSURANCE COMPANY LIMITED</t>
  </si>
  <si>
    <t>Karlo Automobiles Pvt Ltd</t>
  </si>
  <si>
    <t>Vaus Automobiles</t>
  </si>
  <si>
    <t>Tirupati Auto</t>
  </si>
  <si>
    <t>Vaishali Honda (HAV Automobiles)</t>
  </si>
  <si>
    <t>Brij Honda</t>
  </si>
  <si>
    <t>Strategic Alliance Auto Tie-up Hub, “Jeevan Prakash”, Fraser Road, Patna- 800001, Bihar</t>
  </si>
  <si>
    <t>Asha Automobiles Pvt Ltd</t>
  </si>
  <si>
    <t>Manoj Kumar</t>
  </si>
  <si>
    <t>Post Office (End), Punaichak, Patna - 800023</t>
  </si>
  <si>
    <t>AJDPK9426C</t>
  </si>
  <si>
    <t>Side</t>
  </si>
  <si>
    <t>Spot Survey Date(Optional)</t>
  </si>
  <si>
    <t>Krishna Kumar Singh</t>
  </si>
  <si>
    <t>Mukesh Kumar</t>
  </si>
  <si>
    <t>Prakash Narayan</t>
  </si>
  <si>
    <t>Raj Kumar</t>
  </si>
  <si>
    <t>Ravi Ranjan Prasad</t>
  </si>
  <si>
    <t>kksinghsurveyor.singh@gmail.com</t>
  </si>
  <si>
    <t>HDFC Bank Ltd.</t>
  </si>
  <si>
    <t>HDFC0000186</t>
  </si>
  <si>
    <t>01861070036004</t>
  </si>
  <si>
    <t>ATAPS1143F</t>
  </si>
  <si>
    <t>Bank A/c Number</t>
  </si>
  <si>
    <t>Branch</t>
  </si>
  <si>
    <t>Exhibition Road</t>
  </si>
  <si>
    <t>raj081963@gmail.com</t>
  </si>
  <si>
    <t>State Bank of India</t>
  </si>
  <si>
    <t>SBIN0003476</t>
  </si>
  <si>
    <t>AFDPK5100P</t>
  </si>
  <si>
    <t>rrp9936@gmail.com</t>
  </si>
  <si>
    <t>Canara Bank</t>
  </si>
  <si>
    <t>Exhibiton Rd.</t>
  </si>
  <si>
    <t>CNRB0002004</t>
  </si>
  <si>
    <t>AKJPP7098H</t>
  </si>
  <si>
    <t>SPB Branch, Patna</t>
  </si>
  <si>
    <t>Indian Bank</t>
  </si>
  <si>
    <t>PNB</t>
  </si>
  <si>
    <t>IDBI Bank</t>
  </si>
  <si>
    <t>OBC</t>
  </si>
  <si>
    <t>Union Bank</t>
  </si>
  <si>
    <t>Boring Rd</t>
  </si>
  <si>
    <t>West Gandhi Maidan</t>
  </si>
  <si>
    <t>SPBB Patna</t>
  </si>
  <si>
    <t>Raja Bazar</t>
  </si>
  <si>
    <t>Dak Bunglow Road</t>
  </si>
  <si>
    <t>IGIMS, Patna</t>
  </si>
  <si>
    <t>Sarmera Kothi, Road No.1, Rajendra Nagar, Patna-800016</t>
  </si>
  <si>
    <t>New Patliputra Colony, Patna</t>
  </si>
  <si>
    <t>311, Ratnagiri Apartment, Rajabazar, Patna-800014</t>
  </si>
  <si>
    <t>PAtna</t>
  </si>
  <si>
    <t>Bank Name</t>
  </si>
  <si>
    <t>Bank Addess</t>
  </si>
  <si>
    <t>No of Reinsp. Photo</t>
  </si>
  <si>
    <t>HDFC Bank Ltd</t>
  </si>
  <si>
    <t>HDFC0000477</t>
  </si>
  <si>
    <t>04772000006399</t>
  </si>
  <si>
    <t>Exhibition Road, Patna</t>
  </si>
  <si>
    <t>Punaichak, Patna</t>
  </si>
  <si>
    <t>Ashiana Nagar</t>
  </si>
  <si>
    <t>Anishabad</t>
  </si>
  <si>
    <t>Patliputra Colony</t>
  </si>
  <si>
    <t>Hanuman Nagar Br.</t>
  </si>
  <si>
    <t>Kankarbagh Branch</t>
  </si>
  <si>
    <t>New Dak Bunglow Rd</t>
  </si>
  <si>
    <t>Punjab Bank of India</t>
  </si>
  <si>
    <t>Class of City</t>
  </si>
  <si>
    <t>A</t>
  </si>
  <si>
    <t>babulalprasad44@gmail.com</t>
  </si>
  <si>
    <t>License Exipry Date</t>
  </si>
  <si>
    <t>Date of Report</t>
  </si>
  <si>
    <t>prakash.narayan33@gmail.com</t>
  </si>
  <si>
    <t>Arun Kumar Singh</t>
  </si>
  <si>
    <t>303, Gauri Shankar Apartment (Phase-I),Kurji, Patna-800010</t>
  </si>
  <si>
    <t>arunkumar.kurji@gmail.com</t>
  </si>
  <si>
    <t>Uco Bank</t>
  </si>
  <si>
    <t>Mahalekhakar Bhawan</t>
  </si>
  <si>
    <t>UCBA0002050</t>
  </si>
  <si>
    <t>20500100000820</t>
  </si>
  <si>
    <t>ANZPS2969J</t>
  </si>
  <si>
    <t>GSTIN</t>
  </si>
  <si>
    <t>Not Appiled</t>
  </si>
  <si>
    <t xml:space="preserve">DATE </t>
  </si>
  <si>
    <t>GST</t>
  </si>
  <si>
    <t>GST (Parts)</t>
  </si>
  <si>
    <t>GST (Service)</t>
  </si>
  <si>
    <t>Cost of Paint Material (Calculated on a segregated basis Parts)</t>
  </si>
  <si>
    <t>PAINT (Lablour)</t>
  </si>
  <si>
    <t>Insurance Co.'s Liability</t>
  </si>
  <si>
    <t>Insured's Liability</t>
  </si>
  <si>
    <t>Whether Zero Depreciation Endorsement  ?</t>
  </si>
  <si>
    <t>Date of Accident  :</t>
  </si>
  <si>
    <t>Customer</t>
  </si>
  <si>
    <t xml:space="preserve">TOTAL AMOUNT INCLUSIVE OF PAINT MATERIAL </t>
  </si>
  <si>
    <t>TOTAL AMOUNT EXCLUSIVE OF PAINT MATERIAL</t>
  </si>
  <si>
    <t>Reference Number</t>
  </si>
  <si>
    <t>Alankar Auto Sales &amp; Services Pvt Ltd, R Pul</t>
  </si>
  <si>
    <t>Alankar Auto Sales &amp; Services Pvt Ltd, RPS More</t>
  </si>
  <si>
    <t>Reeshav Automobiles, Kankarbagh</t>
  </si>
  <si>
    <t>GST Applicable ?</t>
  </si>
  <si>
    <t>INVOICE NUMBER</t>
  </si>
  <si>
    <t>Chandan Automobiles, Kankarbagh</t>
  </si>
  <si>
    <r>
      <t xml:space="preserve">Phone No. 0612-2200280/2200407        </t>
    </r>
    <r>
      <rPr>
        <u/>
        <sz val="11"/>
        <color theme="1"/>
        <rFont val="Calibri"/>
        <family val="2"/>
        <scheme val="minor"/>
      </rPr>
      <t xml:space="preserve"> Website: www.nationalinsuranceindia.com</t>
    </r>
  </si>
  <si>
    <t>City Name</t>
  </si>
  <si>
    <t>Zero Depreciation Applicable</t>
  </si>
  <si>
    <t>For Nil Depreciation Policy Please select Yes From above Dropdown List.
-SAATH Tieup Claims: Select Yes from above Dropdown List and its done.
-Claim Hub Claims: Select Yes from above and don't forget to select 'Yes' from dropdown in Assessment Sheet as 5% of claim amount is applicable.</t>
  </si>
  <si>
    <t>This concludes my final survey &amp; assessment report issued without prejudice, subject to the term and condition of the policy and  final approval of the insurer.</t>
  </si>
  <si>
    <t>claim papers and reached the workshop at</t>
  </si>
  <si>
    <t>POLICY STATUS</t>
  </si>
  <si>
    <t>The above damaged portions/parts were closely and carefully inspected/examined before and after dismantling of damaged parts. All technical points were taken into consideration and only consistent and allowable damages are herewith included in the final assessment (Attached herewith).</t>
  </si>
  <si>
    <t>POLICY  NUMBER</t>
  </si>
  <si>
    <t xml:space="preserve">MARUTI </t>
  </si>
  <si>
    <t>FINALGST</t>
  </si>
  <si>
    <t xml:space="preserve">GST
Amount </t>
  </si>
  <si>
    <r>
      <rPr>
        <b/>
        <i/>
        <sz val="12"/>
        <color theme="1"/>
        <rFont val="Calibri"/>
        <family val="2"/>
        <scheme val="minor"/>
      </rPr>
      <t>GST</t>
    </r>
    <r>
      <rPr>
        <b/>
        <i/>
        <sz val="10"/>
        <color theme="1"/>
        <rFont val="Calibri"/>
        <family val="2"/>
        <scheme val="minor"/>
      </rPr>
      <t xml:space="preserve"> Applicable on Painting Labour Charge</t>
    </r>
  </si>
  <si>
    <t>Survey Fee Invoice Number</t>
  </si>
  <si>
    <t>10AGXPK2675G1Z8</t>
  </si>
  <si>
    <t>10ABXPK3831D1ZW</t>
  </si>
  <si>
    <t>10AFDPK5100P1ZT</t>
  </si>
  <si>
    <t>Reeshav</t>
  </si>
  <si>
    <t>Type of Material</t>
  </si>
  <si>
    <t>Policy Status</t>
  </si>
  <si>
    <t>Whether Engine Protect Endorsement  ?</t>
  </si>
  <si>
    <t xml:space="preserve"> IMT ENDORSEMENT</t>
  </si>
  <si>
    <t xml:space="preserve"> Permit No.</t>
  </si>
  <si>
    <t xml:space="preserve"> Fitness Validity</t>
  </si>
  <si>
    <t>PERMIT NUMBER</t>
  </si>
  <si>
    <t>PERMIT VALIDITY</t>
  </si>
  <si>
    <t>LOAD CHALLAN DETAIL</t>
  </si>
  <si>
    <t>FITNESS VALIDITY</t>
  </si>
  <si>
    <t>PERMIT AUTHORISATION DETAIL</t>
  </si>
  <si>
    <t>IMT ENDORSEMENT Nos.</t>
  </si>
  <si>
    <t xml:space="preserve"> Load Challan Detail</t>
  </si>
  <si>
    <t>Satish Kumar</t>
  </si>
  <si>
    <t>Ramjaipal Nagar, Gola Road, Danapur, Patna - 801503</t>
  </si>
  <si>
    <t>satishkrcomp@rediffmail.com</t>
  </si>
  <si>
    <t>Union )Bank Of India</t>
  </si>
  <si>
    <t xml:space="preserve">Patna - Raja Bazar </t>
  </si>
  <si>
    <t>UBIN0545325</t>
  </si>
  <si>
    <t>AGOPK2068E</t>
  </si>
  <si>
    <t xml:space="preserve"> Permit Authorised by</t>
  </si>
  <si>
    <t>Shankar Prasad Singh</t>
  </si>
  <si>
    <t>Ground Floor, Satyawati Complex, Kankarbagh Main Road, Patna-800020</t>
  </si>
  <si>
    <t>spsinghsurveyor@yahoo.com</t>
  </si>
  <si>
    <t>IBKL0000065</t>
  </si>
  <si>
    <t>065104000102599</t>
  </si>
  <si>
    <t>AJKPS5682F</t>
  </si>
  <si>
    <t xml:space="preserve"> FINANCER NAME</t>
  </si>
  <si>
    <t>FINANCER NAME</t>
  </si>
  <si>
    <t>Amount</t>
  </si>
  <si>
    <t>GST DETAILS:</t>
  </si>
  <si>
    <t>Pre-Invoice</t>
  </si>
  <si>
    <t>INVOICE TYPE</t>
  </si>
  <si>
    <t xml:space="preserve">FINAL ASSESSMENT  </t>
  </si>
  <si>
    <t xml:space="preserve">TOTAL (ROUNDED OFF)  </t>
  </si>
  <si>
    <t xml:space="preserve">Pre-Invoice Amount </t>
  </si>
  <si>
    <t>Nil Depreciation Excess (5% of Claim Amount) If Applicable</t>
  </si>
  <si>
    <t>Nil Depr. Excess (5% of Claim Amount) If Applicable</t>
  </si>
  <si>
    <t>Taxable Amount</t>
  </si>
  <si>
    <t>GST (Labour)</t>
  </si>
  <si>
    <t>The said vehicle was parked at workshop in damaged condition. The vehicle was minutely inspected and was photographed from various angles. The extent of damage was ascertained and noted. The estimate was scrutinized item wise and considering the extent of actual damages of the vehicle, a loss was arrived. The loss was discussed with the insured as well as the repairer also.</t>
  </si>
  <si>
    <t>1. Ritesh K Sinha</t>
  </si>
  <si>
    <t>2. Rajiv Ranjan</t>
  </si>
  <si>
    <t>Name of Parts</t>
  </si>
  <si>
    <t>Master Maintenance</t>
  </si>
  <si>
    <t xml:space="preserve">Office Name </t>
  </si>
  <si>
    <t>Incharge Designation</t>
  </si>
  <si>
    <t>Address</t>
  </si>
  <si>
    <t>City</t>
  </si>
  <si>
    <t>Pin Code</t>
  </si>
  <si>
    <t>Incharge</t>
  </si>
  <si>
    <t>State</t>
  </si>
  <si>
    <t>Bihar</t>
  </si>
  <si>
    <t>Strategic Alliance Auto Tieup Hub (Patna)</t>
  </si>
  <si>
    <t>"Jeewan Prakash", Fraser Road</t>
  </si>
  <si>
    <t>NIC Invoice Amount</t>
  </si>
  <si>
    <t>Customer Invoice Amt</t>
  </si>
  <si>
    <t>NCB Certificate</t>
  </si>
  <si>
    <t>-------------------------------------   Please tear from here ----------------------------------------------</t>
  </si>
  <si>
    <t>AKNOWLEDGEMENT</t>
  </si>
  <si>
    <t>Pre-Inspection Report</t>
  </si>
  <si>
    <t>Claim Details</t>
  </si>
  <si>
    <t>(Authorised Signatory)</t>
  </si>
  <si>
    <t>Surveyor</t>
  </si>
  <si>
    <t>Checklist</t>
  </si>
  <si>
    <t>Cost of Paint Material (25% of Lumpsum Painting Labour Charge)</t>
  </si>
  <si>
    <t>PAINT (Labour)</t>
  </si>
  <si>
    <t>Customer's Liability</t>
  </si>
  <si>
    <t>Total No of Survey Jobs Allotted</t>
  </si>
  <si>
    <t xml:space="preserve"> Permit Validity</t>
  </si>
  <si>
    <t xml:space="preserve"> Assessed Loss</t>
  </si>
  <si>
    <t>PERMIT</t>
  </si>
  <si>
    <t>AADHAAR CARD</t>
  </si>
  <si>
    <t>FIR LODGED</t>
  </si>
  <si>
    <t>This report is issued by me as licensed surveyor without prejudice, in respect of cause, nature and extent of loss/damage and subject to the terms and conditions of the insurance policy and not binding upon the liability of Insurer or the undersigned.</t>
  </si>
  <si>
    <t>Short Office Name</t>
  </si>
  <si>
    <t>and the vehicle was in Roadworthy condition. During Survey I noticed that the following parts/panels are</t>
  </si>
  <si>
    <t>Panel wise Painting Charges -City Category "A1"</t>
  </si>
  <si>
    <t>Alto-800</t>
  </si>
  <si>
    <t>Alto-K10</t>
  </si>
  <si>
    <t>Zen/Zen
Estilo</t>
  </si>
  <si>
    <t>New
Wagon R</t>
  </si>
  <si>
    <t>A Star</t>
  </si>
  <si>
    <t>Swift
Dzire</t>
  </si>
  <si>
    <t>Vitara</t>
  </si>
  <si>
    <t>Baleno
(new)</t>
  </si>
  <si>
    <t>Vitara
Brezza</t>
  </si>
  <si>
    <t>Ignis</t>
  </si>
  <si>
    <t>Baleno
(Old)</t>
  </si>
  <si>
    <t>Car-800</t>
  </si>
  <si>
    <t>Super Carry</t>
  </si>
  <si>
    <t>Gypsy</t>
  </si>
  <si>
    <t>Front Bumper</t>
  </si>
  <si>
    <t>Rear Bumper</t>
  </si>
  <si>
    <t>Front Panel</t>
  </si>
  <si>
    <t>Front Door</t>
  </si>
  <si>
    <t>Sliding Door</t>
  </si>
  <si>
    <t>Rear Door</t>
  </si>
  <si>
    <t>Back Door</t>
  </si>
  <si>
    <t>Rear Side Body</t>
  </si>
  <si>
    <t>Panel wise Painting Charges -City Category "A2"</t>
  </si>
  <si>
    <t>Panel wise Painting Charges -City Category "B"</t>
  </si>
  <si>
    <t>Panel wise Painting Charges -City Category "C"</t>
  </si>
  <si>
    <t>City Category</t>
  </si>
  <si>
    <t>B</t>
  </si>
  <si>
    <t>City/Paint Code</t>
  </si>
  <si>
    <t>HeaderMA1</t>
  </si>
  <si>
    <t>HeaderMA2</t>
  </si>
  <si>
    <t>HeaderMB</t>
  </si>
  <si>
    <t>HeaderMC</t>
  </si>
  <si>
    <t>HeaderNMA1</t>
  </si>
  <si>
    <t>HeaderNMA2</t>
  </si>
  <si>
    <t>HeaderNMB</t>
  </si>
  <si>
    <t>HeaderNMC</t>
  </si>
  <si>
    <t>HeaderPWA1</t>
  </si>
  <si>
    <t>HeaderPWA2</t>
  </si>
  <si>
    <t>HeaderPWB</t>
  </si>
  <si>
    <t>HeaderPWC</t>
  </si>
  <si>
    <t>Versa/Eeco</t>
  </si>
  <si>
    <t>Qr.Panel</t>
  </si>
  <si>
    <t xml:space="preserve">Maruti Painting Schedule Utility </t>
  </si>
  <si>
    <t>System Discount %</t>
  </si>
  <si>
    <t>Manual Discount %</t>
  </si>
  <si>
    <t>Discount Mode</t>
  </si>
  <si>
    <t>LOAD CHALLAN</t>
  </si>
  <si>
    <t>YES</t>
  </si>
  <si>
    <t>10ANZPS2969J2Z6</t>
  </si>
  <si>
    <t>Because insured payment</t>
  </si>
  <si>
    <t>Easy Code</t>
  </si>
  <si>
    <t>37267, Easi Code-95305303</t>
  </si>
  <si>
    <t>at</t>
  </si>
  <si>
    <t>System</t>
  </si>
  <si>
    <t>Big New Wagon R</t>
  </si>
  <si>
    <t>New Ertiga</t>
  </si>
  <si>
    <t>w.e.f. 22st June  2022</t>
  </si>
  <si>
    <t>VER 4.3</t>
  </si>
  <si>
    <t xml:space="preserve"> Dt. 29/11/22</t>
  </si>
  <si>
    <t>Whether Key &amp; lock Protect Endorsement  ?</t>
  </si>
  <si>
    <t>Whether Consumables Protect Endorsement  ?</t>
  </si>
  <si>
    <t>Whether Invoice Protect Endorsement  ?</t>
  </si>
  <si>
    <t>Ver 4.3</t>
  </si>
  <si>
    <t>Whether CNG Protect Endorsement in RC,POLICY,PERMIT ?</t>
  </si>
  <si>
    <t>Whether case of BREAK INSURANCE,Taken break report and photographs ?</t>
  </si>
  <si>
    <t>Whether  Third party insurance valid   ?</t>
  </si>
  <si>
    <t>3.Ranjeet Kumar        SAATH, Patna                      8409473204</t>
  </si>
  <si>
    <t>Release Version 4.3                     Dt. 29/11/2022</t>
  </si>
  <si>
    <t>R&amp;R</t>
  </si>
  <si>
    <t>7,10,28,16</t>
  </si>
  <si>
    <t>NA</t>
  </si>
  <si>
    <t>Road-Worthy</t>
  </si>
  <si>
    <t>Damages</t>
  </si>
  <si>
    <t>Saloon</t>
  </si>
  <si>
    <t>Repair/Dent</t>
  </si>
  <si>
    <t>FR</t>
  </si>
  <si>
    <t>RH</t>
  </si>
  <si>
    <t>JC25001035</t>
  </si>
  <si>
    <t xml:space="preserve">M/S Maruti </t>
  </si>
  <si>
    <t>As per statement of insured and also mentioned in the claim form. While the insured vehicle was en-route. At the place of accident , . Hence the damages sustained.</t>
  </si>
  <si>
    <t>D.T.O Patna</t>
  </si>
  <si>
    <t>Report-0000/24-25</t>
  </si>
  <si>
    <t xml:space="preserve">Mr. </t>
  </si>
  <si>
    <t>Aastha Honda Patna</t>
  </si>
  <si>
    <t>DKS/ Aasth Honda/March/2024-2025</t>
  </si>
</sst>
</file>

<file path=xl/styles.xml><?xml version="1.0" encoding="utf-8"?>
<styleSheet xmlns="http://schemas.openxmlformats.org/spreadsheetml/2006/main">
  <numFmts count="30">
    <numFmt numFmtId="43" formatCode="_ * #,##0.00_ ;_ * \-#,##0.00_ ;_ * &quot;-&quot;??_ ;_ @_ "/>
    <numFmt numFmtId="164" formatCode="_(&quot;Rs.&quot;* #,##0.00_);_(&quot;Rs.&quot;* \(#,##0.00\);_(&quot;Rs.&quot;* &quot;-&quot;??_);_(@_)"/>
    <numFmt numFmtId="165" formatCode="&quot;Rs.&quot;\ #,##0.00;&quot;Rs.&quot;\ \-#,##0.00"/>
    <numFmt numFmtId="166" formatCode="[$-409]d\-mmm\-yyyy;@"/>
    <numFmt numFmtId="167" formatCode="[$-409]d\-mmm\-yy;@"/>
    <numFmt numFmtId="168" formatCode="&quot;Rs.&quot;#,##0"/>
    <numFmt numFmtId="169" formatCode="&quot;Rs.&quot;#,##0.00"/>
    <numFmt numFmtId="170" formatCode="[$₹-4009]\ #,##0.00"/>
    <numFmt numFmtId="171" formatCode="0;[Red]0"/>
    <numFmt numFmtId="172" formatCode="[$-F800]dddd\,\ mmmm\ dd\,\ yyyy"/>
    <numFmt numFmtId="173" formatCode="&quot;Rs.&quot;\ #,##0"/>
    <numFmt numFmtId="174" formatCode="&quot;Rs.&quot;\ #,##0.00"/>
    <numFmt numFmtId="175" formatCode="[$-409]d/mmm/yyyy;@"/>
    <numFmt numFmtId="176" formatCode="[$-14009]d\ mmmm\ yyyy;@"/>
    <numFmt numFmtId="177" formatCode="[$-409]dd\-mmm\-yy;@"/>
    <numFmt numFmtId="178" formatCode="[$-14009]dd\ mmmm\ yyyy;@"/>
    <numFmt numFmtId="179" formatCode="&quot;Rs.&quot;\ #,##0.00;[Red]&quot;Rs.&quot;\ #,##0.00"/>
    <numFmt numFmtId="180" formatCode="&quot;Rs. &quot;#,##0;[Red]&quot;Rs. &quot;#,##0"/>
    <numFmt numFmtId="181" formatCode="0.00;[Red]0.00"/>
    <numFmt numFmtId="182" formatCode="&quot;Midnight&quot;\ [$-409]d\-mmm\-yyyy;@"/>
    <numFmt numFmtId="183" formatCode="dd\-mmm\-yyyy"/>
    <numFmt numFmtId="184" formatCode="#,##0;[Red]#,##0"/>
    <numFmt numFmtId="185" formatCode="&quot;₹.&quot;\ #,##0"/>
    <numFmt numFmtId="186" formatCode="&quot;₹ &quot;#,##0"/>
    <numFmt numFmtId="187" formatCode="&quot;₹ &quot;#,##0.00"/>
    <numFmt numFmtId="188" formatCode="&quot;₹ &quot;#,##0;[Red]\-&quot;Rs. &quot;#,##0"/>
    <numFmt numFmtId="189" formatCode="dd\-mmm\-yy\ hh:mm"/>
    <numFmt numFmtId="190" formatCode="dd\-mm\-yyyy\ hh:mm"/>
    <numFmt numFmtId="191" formatCode="dd\-mmm\-yyyy\ hh:mm"/>
    <numFmt numFmtId="192" formatCode="[$-409]dd/mmm/yy;@"/>
  </numFmts>
  <fonts count="138">
    <font>
      <sz val="11"/>
      <color theme="1"/>
      <name val="Calibri"/>
      <family val="2"/>
      <scheme val="minor"/>
    </font>
    <font>
      <sz val="10"/>
      <name val="Arial"/>
      <family val="2"/>
    </font>
    <font>
      <b/>
      <sz val="12"/>
      <name val="Arial"/>
      <family val="2"/>
    </font>
    <font>
      <sz val="9"/>
      <name val="Arial"/>
      <family val="2"/>
    </font>
    <font>
      <b/>
      <sz val="9"/>
      <name val="Arial"/>
      <family val="2"/>
    </font>
    <font>
      <i/>
      <sz val="9"/>
      <name val="Arial"/>
      <family val="2"/>
    </font>
    <font>
      <b/>
      <i/>
      <sz val="9"/>
      <name val="Arial"/>
      <family val="2"/>
    </font>
    <font>
      <sz val="8"/>
      <name val="Arial"/>
      <family val="2"/>
    </font>
    <font>
      <b/>
      <sz val="10"/>
      <name val="Arial"/>
      <family val="2"/>
    </font>
    <font>
      <b/>
      <sz val="14"/>
      <name val="Arial"/>
      <family val="2"/>
    </font>
    <font>
      <b/>
      <i/>
      <u/>
      <sz val="12"/>
      <name val="Arial"/>
      <family val="2"/>
    </font>
    <font>
      <b/>
      <sz val="9"/>
      <name val="Times New Roman"/>
      <family val="1"/>
    </font>
    <font>
      <sz val="11"/>
      <color theme="1"/>
      <name val="Calibri"/>
      <family val="2"/>
      <scheme val="minor"/>
    </font>
    <font>
      <b/>
      <sz val="11"/>
      <color theme="0"/>
      <name val="Calibri"/>
      <family val="2"/>
      <scheme val="minor"/>
    </font>
    <font>
      <u/>
      <sz val="11"/>
      <color theme="10"/>
      <name val="Calibri"/>
      <family val="2"/>
    </font>
    <font>
      <b/>
      <sz val="11"/>
      <color theme="1"/>
      <name val="Calibri"/>
      <family val="2"/>
      <scheme val="minor"/>
    </font>
    <font>
      <b/>
      <i/>
      <sz val="11"/>
      <color theme="0"/>
      <name val="Calibri"/>
      <family val="2"/>
      <scheme val="minor"/>
    </font>
    <font>
      <b/>
      <sz val="9"/>
      <color theme="0"/>
      <name val="Times New Roman"/>
      <family val="1"/>
    </font>
    <font>
      <b/>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b/>
      <i/>
      <sz val="9"/>
      <color theme="0"/>
      <name val="Arial"/>
      <family val="2"/>
    </font>
    <font>
      <b/>
      <sz val="11"/>
      <color rgb="FF000000"/>
      <name val="Calibri"/>
      <family val="2"/>
      <scheme val="minor"/>
    </font>
    <font>
      <b/>
      <sz val="14"/>
      <color theme="1"/>
      <name val="Calibri"/>
      <family val="2"/>
      <scheme val="minor"/>
    </font>
    <font>
      <b/>
      <i/>
      <sz val="12"/>
      <name val="Calibri"/>
      <family val="2"/>
      <scheme val="minor"/>
    </font>
    <font>
      <b/>
      <i/>
      <sz val="9"/>
      <name val="Calibri"/>
      <family val="2"/>
      <scheme val="minor"/>
    </font>
    <font>
      <b/>
      <sz val="9"/>
      <color indexed="9"/>
      <name val="Arial"/>
      <family val="2"/>
    </font>
    <font>
      <b/>
      <sz val="8"/>
      <name val="Arial"/>
      <family val="2"/>
    </font>
    <font>
      <b/>
      <sz val="9"/>
      <color theme="1"/>
      <name val="Calibri"/>
      <family val="2"/>
      <scheme val="minor"/>
    </font>
    <font>
      <b/>
      <i/>
      <sz val="9"/>
      <color theme="1"/>
      <name val="Calibri"/>
      <family val="2"/>
      <scheme val="minor"/>
    </font>
    <font>
      <sz val="9"/>
      <color theme="1"/>
      <name val="Calibri"/>
      <family val="2"/>
      <scheme val="minor"/>
    </font>
    <font>
      <sz val="9"/>
      <name val="Calibri"/>
      <family val="2"/>
      <scheme val="minor"/>
    </font>
    <font>
      <b/>
      <sz val="9"/>
      <name val="Calibri"/>
      <family val="2"/>
      <scheme val="minor"/>
    </font>
    <font>
      <b/>
      <sz val="10"/>
      <name val="Calibri"/>
      <family val="2"/>
      <scheme val="minor"/>
    </font>
    <font>
      <i/>
      <sz val="12"/>
      <color indexed="9"/>
      <name val="Calibri"/>
      <family val="2"/>
    </font>
    <font>
      <b/>
      <i/>
      <sz val="12"/>
      <color indexed="9"/>
      <name val="Calibri"/>
      <family val="2"/>
    </font>
    <font>
      <b/>
      <i/>
      <sz val="11"/>
      <color theme="1"/>
      <name val="Cambria"/>
      <family val="1"/>
    </font>
    <font>
      <b/>
      <i/>
      <sz val="12"/>
      <color theme="0"/>
      <name val="Calibri"/>
      <family val="2"/>
      <scheme val="minor"/>
    </font>
    <font>
      <b/>
      <sz val="9"/>
      <color theme="0"/>
      <name val="Arial"/>
      <family val="2"/>
    </font>
    <font>
      <b/>
      <i/>
      <sz val="9"/>
      <color theme="1"/>
      <name val="Cambria"/>
      <family val="1"/>
    </font>
    <font>
      <b/>
      <i/>
      <sz val="10"/>
      <name val="Cambria"/>
      <family val="1"/>
    </font>
    <font>
      <b/>
      <sz val="24"/>
      <name val="Arial"/>
      <family val="2"/>
    </font>
    <font>
      <sz val="10"/>
      <color theme="1"/>
      <name val="Calibri"/>
      <family val="2"/>
      <scheme val="minor"/>
    </font>
    <font>
      <b/>
      <i/>
      <sz val="10"/>
      <color theme="10"/>
      <name val="Calibri"/>
      <family val="2"/>
    </font>
    <font>
      <b/>
      <i/>
      <sz val="9"/>
      <color theme="10"/>
      <name val="Calibri"/>
      <family val="2"/>
    </font>
    <font>
      <b/>
      <i/>
      <sz val="11"/>
      <name val="Calibri"/>
      <family val="2"/>
    </font>
    <font>
      <b/>
      <i/>
      <sz val="8"/>
      <color theme="1"/>
      <name val="Calibri"/>
      <family val="2"/>
      <scheme val="minor"/>
    </font>
    <font>
      <i/>
      <sz val="9"/>
      <color theme="1"/>
      <name val="Calibri"/>
      <family val="2"/>
      <scheme val="minor"/>
    </font>
    <font>
      <b/>
      <i/>
      <sz val="9"/>
      <color theme="0"/>
      <name val="Calibri"/>
      <family val="2"/>
      <scheme val="minor"/>
    </font>
    <font>
      <sz val="9"/>
      <color theme="0"/>
      <name val="Calibri"/>
      <family val="2"/>
      <scheme val="minor"/>
    </font>
    <font>
      <b/>
      <i/>
      <u/>
      <sz val="9"/>
      <color theme="1"/>
      <name val="Calibri"/>
      <family val="2"/>
      <scheme val="minor"/>
    </font>
    <font>
      <b/>
      <sz val="9"/>
      <color theme="0"/>
      <name val="Calibri"/>
      <family val="2"/>
      <scheme val="minor"/>
    </font>
    <font>
      <b/>
      <i/>
      <u/>
      <sz val="12"/>
      <color theme="0"/>
      <name val="Calibri"/>
      <family val="2"/>
      <scheme val="minor"/>
    </font>
    <font>
      <b/>
      <sz val="8"/>
      <color theme="1"/>
      <name val="Calibri"/>
      <family val="2"/>
      <scheme val="minor"/>
    </font>
    <font>
      <b/>
      <i/>
      <sz val="10"/>
      <color theme="1"/>
      <name val="Calibri"/>
      <family val="2"/>
      <scheme val="minor"/>
    </font>
    <font>
      <b/>
      <sz val="10"/>
      <color theme="1"/>
      <name val="Calibri"/>
      <family val="2"/>
      <scheme val="minor"/>
    </font>
    <font>
      <b/>
      <i/>
      <sz val="10.5"/>
      <color theme="1"/>
      <name val="Calibri"/>
      <family val="2"/>
      <scheme val="minor"/>
    </font>
    <font>
      <b/>
      <sz val="10.5"/>
      <color theme="1"/>
      <name val="Calibri"/>
      <family val="2"/>
      <scheme val="minor"/>
    </font>
    <font>
      <i/>
      <sz val="9"/>
      <name val="Calibri"/>
      <family val="2"/>
      <scheme val="minor"/>
    </font>
    <font>
      <b/>
      <i/>
      <sz val="11"/>
      <name val="Calibri"/>
      <family val="2"/>
      <scheme val="minor"/>
    </font>
    <font>
      <b/>
      <i/>
      <sz val="10"/>
      <name val="Calibri"/>
      <family val="2"/>
      <scheme val="minor"/>
    </font>
    <font>
      <b/>
      <i/>
      <sz val="10"/>
      <color theme="0"/>
      <name val="Calibri"/>
      <family val="2"/>
      <scheme val="minor"/>
    </font>
    <font>
      <b/>
      <i/>
      <sz val="10"/>
      <color theme="1"/>
      <name val="Cambria"/>
      <family val="1"/>
    </font>
    <font>
      <b/>
      <sz val="10"/>
      <color rgb="FF000000"/>
      <name val="Calibri"/>
      <family val="2"/>
      <scheme val="minor"/>
    </font>
    <font>
      <sz val="10"/>
      <color theme="0"/>
      <name val="Calibri"/>
      <family val="2"/>
      <scheme val="minor"/>
    </font>
    <font>
      <i/>
      <sz val="12"/>
      <color theme="1"/>
      <name val="Calibri"/>
      <family val="2"/>
      <scheme val="minor"/>
    </font>
    <font>
      <b/>
      <i/>
      <u/>
      <sz val="10"/>
      <color theme="1"/>
      <name val="Calibri"/>
      <family val="2"/>
      <scheme val="minor"/>
    </font>
    <font>
      <b/>
      <sz val="10"/>
      <name val="Times New Roman"/>
      <family val="1"/>
    </font>
    <font>
      <b/>
      <sz val="10"/>
      <color rgb="FF000000"/>
      <name val="Times New Roman"/>
      <family val="1"/>
    </font>
    <font>
      <sz val="10"/>
      <color rgb="FF000000"/>
      <name val="Times New Roman"/>
      <family val="1"/>
    </font>
    <font>
      <b/>
      <sz val="10"/>
      <color theme="0"/>
      <name val="Calibri"/>
      <family val="2"/>
      <scheme val="minor"/>
    </font>
    <font>
      <sz val="8"/>
      <color theme="1"/>
      <name val="Calibri"/>
      <family val="2"/>
      <scheme val="minor"/>
    </font>
    <font>
      <sz val="10"/>
      <name val="Tahoma"/>
      <family val="2"/>
    </font>
    <font>
      <b/>
      <i/>
      <sz val="20"/>
      <color theme="0"/>
      <name val="Cambria"/>
      <family val="1"/>
    </font>
    <font>
      <b/>
      <i/>
      <sz val="14"/>
      <color theme="1"/>
      <name val="Vijaya"/>
      <family val="2"/>
    </font>
    <font>
      <b/>
      <sz val="11"/>
      <name val="Arial"/>
      <family val="2"/>
    </font>
    <font>
      <b/>
      <i/>
      <sz val="11"/>
      <name val="Arial"/>
      <family val="2"/>
    </font>
    <font>
      <b/>
      <sz val="11"/>
      <color theme="1"/>
      <name val="Arial"/>
      <family val="2"/>
    </font>
    <font>
      <b/>
      <i/>
      <sz val="12"/>
      <color theme="5" tint="0.39997558519241921"/>
      <name val="Calibri"/>
      <family val="2"/>
      <scheme val="minor"/>
    </font>
    <font>
      <b/>
      <i/>
      <sz val="14"/>
      <name val="Calibri"/>
      <family val="2"/>
      <scheme val="minor"/>
    </font>
    <font>
      <b/>
      <i/>
      <sz val="10"/>
      <color rgb="FF000000"/>
      <name val="Calibri"/>
      <family val="2"/>
      <scheme val="minor"/>
    </font>
    <font>
      <sz val="10"/>
      <name val="Times New Roman"/>
      <family val="1"/>
    </font>
    <font>
      <sz val="11"/>
      <name val="Calibri"/>
      <family val="2"/>
      <scheme val="minor"/>
    </font>
    <font>
      <i/>
      <sz val="11"/>
      <name val="Calibri"/>
      <family val="2"/>
      <scheme val="minor"/>
    </font>
    <font>
      <i/>
      <sz val="11"/>
      <color theme="1"/>
      <name val="Calibri"/>
      <family val="2"/>
      <scheme val="minor"/>
    </font>
    <font>
      <i/>
      <sz val="11"/>
      <name val="Times New Roman"/>
      <family val="1"/>
    </font>
    <font>
      <b/>
      <i/>
      <sz val="8"/>
      <name val="Calibri"/>
      <family val="2"/>
      <scheme val="minor"/>
    </font>
    <font>
      <sz val="10"/>
      <color rgb="FFFF0000"/>
      <name val="Calibri"/>
      <family val="2"/>
      <scheme val="minor"/>
    </font>
    <font>
      <sz val="10"/>
      <name val="Calibri"/>
      <family val="2"/>
      <scheme val="minor"/>
    </font>
    <font>
      <b/>
      <i/>
      <sz val="8"/>
      <color theme="0"/>
      <name val="Cambria"/>
      <family val="1"/>
    </font>
    <font>
      <sz val="11"/>
      <color theme="0"/>
      <name val="Calibri"/>
      <family val="2"/>
      <scheme val="minor"/>
    </font>
    <font>
      <b/>
      <sz val="12"/>
      <color theme="0"/>
      <name val="Calibri"/>
      <family val="2"/>
      <scheme val="minor"/>
    </font>
    <font>
      <b/>
      <sz val="20"/>
      <color theme="0"/>
      <name val="Calibri"/>
      <family val="2"/>
      <scheme val="minor"/>
    </font>
    <font>
      <b/>
      <sz val="12"/>
      <color rgb="FFF75309"/>
      <name val="Calibri"/>
      <family val="2"/>
      <scheme val="minor"/>
    </font>
    <font>
      <sz val="15.4"/>
      <color theme="0"/>
      <name val="Segoe UI"/>
      <family val="2"/>
    </font>
    <font>
      <b/>
      <sz val="14"/>
      <color theme="0"/>
      <name val="Andalus"/>
      <family val="1"/>
    </font>
    <font>
      <sz val="15.4"/>
      <color theme="0"/>
      <name val="Calibri"/>
      <family val="2"/>
      <scheme val="minor"/>
    </font>
    <font>
      <b/>
      <sz val="14"/>
      <color theme="0"/>
      <name val="Calibri"/>
      <family val="2"/>
      <scheme val="minor"/>
    </font>
    <font>
      <b/>
      <i/>
      <sz val="11"/>
      <color rgb="FF002060"/>
      <name val="Calibri"/>
      <family val="2"/>
      <scheme val="minor"/>
    </font>
    <font>
      <b/>
      <i/>
      <sz val="11"/>
      <color rgb="FFFFFF00"/>
      <name val="Calibri"/>
      <family val="2"/>
      <scheme val="minor"/>
    </font>
    <font>
      <b/>
      <sz val="16"/>
      <color theme="1"/>
      <name val="Calibri"/>
      <family val="2"/>
    </font>
    <font>
      <sz val="11"/>
      <color theme="1"/>
      <name val="Calibri"/>
      <family val="2"/>
    </font>
    <font>
      <sz val="18"/>
      <color theme="0"/>
      <name val="Calibri"/>
      <family val="2"/>
      <scheme val="minor"/>
    </font>
    <font>
      <b/>
      <i/>
      <sz val="11"/>
      <color rgb="FFFF0000"/>
      <name val="Calibri"/>
      <family val="2"/>
      <scheme val="minor"/>
    </font>
    <font>
      <b/>
      <i/>
      <sz val="10"/>
      <name val="Arial"/>
      <family val="2"/>
    </font>
    <font>
      <sz val="11.5"/>
      <color theme="1"/>
      <name val="Calibri"/>
      <family val="2"/>
      <scheme val="minor"/>
    </font>
    <font>
      <b/>
      <i/>
      <sz val="10.5"/>
      <color theme="0"/>
      <name val="Calibri"/>
      <family val="2"/>
      <scheme val="minor"/>
    </font>
    <font>
      <b/>
      <i/>
      <u/>
      <sz val="10"/>
      <name val="Arial"/>
      <family val="2"/>
    </font>
    <font>
      <b/>
      <sz val="12"/>
      <name val="Calibri"/>
      <family val="2"/>
      <scheme val="minor"/>
    </font>
    <font>
      <u/>
      <sz val="11"/>
      <color theme="1"/>
      <name val="Calibri"/>
      <family val="2"/>
      <scheme val="minor"/>
    </font>
    <font>
      <b/>
      <i/>
      <sz val="11"/>
      <name val="Cambria"/>
      <family val="1"/>
    </font>
    <font>
      <sz val="10.5"/>
      <color theme="1"/>
      <name val="Calibri"/>
      <family val="2"/>
      <scheme val="minor"/>
    </font>
    <font>
      <b/>
      <sz val="18"/>
      <color theme="1"/>
      <name val="Calibri"/>
      <family val="2"/>
      <scheme val="minor"/>
    </font>
    <font>
      <b/>
      <sz val="18"/>
      <color theme="0"/>
      <name val="Calibri"/>
      <family val="2"/>
      <scheme val="minor"/>
    </font>
    <font>
      <b/>
      <sz val="10"/>
      <color rgb="FF000000"/>
      <name val="Calibri"/>
      <family val="2"/>
    </font>
    <font>
      <sz val="10"/>
      <color rgb="FF000000"/>
      <name val="Calibri"/>
      <family val="2"/>
    </font>
    <font>
      <sz val="8"/>
      <name val="Calibri"/>
      <family val="2"/>
      <scheme val="minor"/>
    </font>
    <font>
      <b/>
      <sz val="8"/>
      <name val="Calibri"/>
      <family val="2"/>
      <scheme val="minor"/>
    </font>
    <font>
      <b/>
      <i/>
      <u/>
      <sz val="11"/>
      <name val="Calibri"/>
      <family val="2"/>
      <scheme val="minor"/>
    </font>
    <font>
      <b/>
      <i/>
      <sz val="12"/>
      <name val="Arial"/>
      <family val="2"/>
    </font>
    <font>
      <b/>
      <i/>
      <u/>
      <sz val="12"/>
      <name val="Calibri"/>
      <family val="2"/>
      <scheme val="minor"/>
    </font>
    <font>
      <b/>
      <i/>
      <u/>
      <sz val="10"/>
      <name val="Calibri"/>
      <family val="2"/>
      <scheme val="minor"/>
    </font>
    <font>
      <b/>
      <i/>
      <u/>
      <sz val="9"/>
      <name val="Calibri"/>
      <family val="2"/>
      <scheme val="minor"/>
    </font>
    <font>
      <u/>
      <sz val="9"/>
      <name val="Calibri"/>
      <family val="2"/>
      <scheme val="minor"/>
    </font>
    <font>
      <i/>
      <u/>
      <sz val="9"/>
      <name val="Calibri"/>
      <family val="2"/>
      <scheme val="minor"/>
    </font>
    <font>
      <b/>
      <i/>
      <u/>
      <sz val="8"/>
      <name val="Calibri"/>
      <family val="2"/>
      <scheme val="minor"/>
    </font>
    <font>
      <sz val="11"/>
      <color rgb="FFFF0000"/>
      <name val="Calibri"/>
      <family val="2"/>
      <scheme val="minor"/>
    </font>
    <font>
      <sz val="10"/>
      <color rgb="FFFF0000"/>
      <name val="Calibri"/>
      <family val="2"/>
    </font>
    <font>
      <b/>
      <sz val="10"/>
      <color rgb="FFFF0000"/>
      <name val="Calibri"/>
      <family val="2"/>
    </font>
    <font>
      <b/>
      <sz val="10"/>
      <name val="Calibri"/>
      <family val="2"/>
    </font>
    <font>
      <sz val="11"/>
      <color rgb="FF0070C0"/>
      <name val="Calibri"/>
      <family val="2"/>
      <scheme val="minor"/>
    </font>
    <font>
      <b/>
      <sz val="10"/>
      <color rgb="FF0070C0"/>
      <name val="Calibri"/>
      <family val="2"/>
    </font>
    <font>
      <sz val="10"/>
      <color rgb="FF0070C0"/>
      <name val="Calibri"/>
      <family val="2"/>
    </font>
    <font>
      <b/>
      <i/>
      <sz val="10"/>
      <color theme="0"/>
      <name val="Cambria"/>
      <family val="1"/>
    </font>
    <font>
      <b/>
      <i/>
      <sz val="11"/>
      <color theme="0"/>
      <name val="Cambria"/>
      <family val="1"/>
    </font>
    <font>
      <b/>
      <sz val="10"/>
      <color rgb="FFC00000"/>
      <name val="Aharoni"/>
    </font>
    <font>
      <b/>
      <sz val="14"/>
      <color rgb="FFC00000"/>
      <name val="Aharoni"/>
    </font>
  </fonts>
  <fills count="33">
    <fill>
      <patternFill patternType="none"/>
    </fill>
    <fill>
      <patternFill patternType="gray125"/>
    </fill>
    <fill>
      <patternFill patternType="solid">
        <fgColor indexed="22"/>
        <bgColor indexed="64"/>
      </patternFill>
    </fill>
    <fill>
      <patternFill patternType="solid">
        <fgColor theme="4" tint="0.59999389629810485"/>
        <bgColor indexed="64"/>
      </patternFill>
    </fill>
    <fill>
      <patternFill patternType="solid">
        <fgColor theme="8" tint="-0.499984740745262"/>
        <bgColor indexed="64"/>
      </patternFill>
    </fill>
    <fill>
      <patternFill patternType="solid">
        <fgColor theme="0"/>
        <bgColor indexed="64"/>
      </patternFill>
    </fill>
    <fill>
      <patternFill patternType="solid">
        <fgColor rgb="FF00206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2"/>
        <bgColor indexed="64"/>
      </patternFill>
    </fill>
    <fill>
      <patternFill patternType="solid">
        <fgColor rgb="FF006666"/>
        <bgColor indexed="64"/>
      </patternFill>
    </fill>
    <fill>
      <patternFill patternType="solid">
        <fgColor rgb="FFFFFF00"/>
        <bgColor indexed="64"/>
      </patternFill>
    </fill>
    <fill>
      <patternFill patternType="solid">
        <fgColor rgb="FF0070C0"/>
        <bgColor indexed="64"/>
      </patternFill>
    </fill>
    <fill>
      <patternFill patternType="solid">
        <fgColor rgb="FF008080"/>
        <bgColor indexed="64"/>
      </patternFill>
    </fill>
    <fill>
      <patternFill patternType="solid">
        <fgColor theme="0" tint="-0.249977111117893"/>
        <bgColor indexed="64"/>
      </patternFill>
    </fill>
    <fill>
      <patternFill patternType="solid">
        <fgColor rgb="FF3EA09E"/>
        <bgColor indexed="64"/>
      </patternFill>
    </fill>
    <fill>
      <patternFill patternType="solid">
        <fgColor rgb="FFB0D4D8"/>
        <bgColor indexed="64"/>
      </patternFill>
    </fill>
    <fill>
      <patternFill patternType="solid">
        <fgColor rgb="FFFFFFEF"/>
        <bgColor indexed="64"/>
      </patternFill>
    </fill>
    <fill>
      <patternFill patternType="solid">
        <fgColor rgb="FFFFFFCC"/>
        <bgColor indexed="64"/>
      </patternFill>
    </fill>
    <fill>
      <patternFill patternType="solid">
        <fgColor rgb="FF7030A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E6B8B7"/>
      </patternFill>
    </fill>
    <fill>
      <patternFill patternType="solid">
        <fgColor rgb="FFE7F1F9"/>
        <bgColor indexed="64"/>
      </patternFill>
    </fill>
    <fill>
      <patternFill patternType="solid">
        <fgColor rgb="FFEBF7FB"/>
        <bgColor indexed="64"/>
      </patternFill>
    </fill>
  </fills>
  <borders count="9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thin">
        <color indexed="64"/>
      </left>
      <right/>
      <top/>
      <bottom style="medium">
        <color indexed="64"/>
      </bottom>
      <diagonal/>
    </border>
    <border>
      <left/>
      <right/>
      <top style="medium">
        <color indexed="64"/>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style="thin">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medium">
        <color indexed="64"/>
      </right>
      <top/>
      <bottom style="double">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bottom style="thin">
        <color indexed="64"/>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s>
  <cellStyleXfs count="4">
    <xf numFmtId="0" fontId="0" fillId="0" borderId="0"/>
    <xf numFmtId="43" fontId="12" fillId="0" borderId="0" applyFont="0" applyFill="0" applyBorder="0" applyAlignment="0" applyProtection="0"/>
    <xf numFmtId="0" fontId="14" fillId="0" borderId="0" applyNumberFormat="0" applyFill="0" applyBorder="0" applyAlignment="0" applyProtection="0">
      <alignment vertical="top"/>
      <protection locked="0"/>
    </xf>
    <xf numFmtId="9" fontId="12" fillId="0" borderId="0" applyFont="0" applyFill="0" applyBorder="0" applyAlignment="0" applyProtection="0"/>
  </cellStyleXfs>
  <cellXfs count="1611">
    <xf numFmtId="0" fontId="0" fillId="0" borderId="0" xfId="0"/>
    <xf numFmtId="0" fontId="0" fillId="0" borderId="0" xfId="0" applyProtection="1"/>
    <xf numFmtId="164" fontId="3" fillId="0" borderId="0" xfId="1" quotePrefix="1" applyNumberFormat="1" applyFont="1" applyBorder="1" applyAlignment="1" applyProtection="1">
      <alignment vertical="center" shrinkToFit="1"/>
    </xf>
    <xf numFmtId="0" fontId="3" fillId="0" borderId="0" xfId="0" applyFont="1" applyBorder="1" applyAlignment="1" applyProtection="1">
      <alignment vertical="center"/>
    </xf>
    <xf numFmtId="0" fontId="4" fillId="0" borderId="0" xfId="0" applyFont="1" applyBorder="1" applyAlignment="1" applyProtection="1">
      <alignment horizontal="left" vertical="center"/>
    </xf>
    <xf numFmtId="1" fontId="3" fillId="0" borderId="0" xfId="0" applyNumberFormat="1" applyFont="1" applyBorder="1" applyAlignment="1" applyProtection="1">
      <alignment vertical="center"/>
    </xf>
    <xf numFmtId="0" fontId="15" fillId="0" borderId="0" xfId="0" applyFont="1" applyAlignment="1" applyProtection="1">
      <alignment horizontal="left"/>
    </xf>
    <xf numFmtId="43" fontId="3" fillId="0" borderId="0" xfId="1" applyFont="1" applyBorder="1" applyAlignment="1" applyProtection="1">
      <alignment horizontal="left" vertical="center"/>
    </xf>
    <xf numFmtId="43" fontId="22" fillId="4" borderId="8" xfId="1" applyFont="1" applyFill="1" applyBorder="1" applyAlignment="1" applyProtection="1">
      <alignment horizontal="left" vertical="center"/>
    </xf>
    <xf numFmtId="0" fontId="7" fillId="0" borderId="0" xfId="0" applyFont="1" applyBorder="1" applyAlignment="1" applyProtection="1">
      <alignment vertical="center" wrapText="1"/>
    </xf>
    <xf numFmtId="0" fontId="17" fillId="0" borderId="0" xfId="0" applyFont="1" applyFill="1" applyBorder="1" applyAlignment="1">
      <alignment vertical="center"/>
    </xf>
    <xf numFmtId="170" fontId="15" fillId="0" borderId="0" xfId="0" applyNumberFormat="1" applyFont="1" applyAlignment="1" applyProtection="1">
      <alignment horizontal="center"/>
    </xf>
    <xf numFmtId="0" fontId="23" fillId="0" borderId="8" xfId="0" applyFont="1" applyBorder="1" applyAlignment="1" applyProtection="1">
      <alignment horizontal="left" vertical="center"/>
    </xf>
    <xf numFmtId="0" fontId="18" fillId="0" borderId="4" xfId="0" applyFont="1" applyFill="1" applyBorder="1" applyAlignment="1" applyProtection="1">
      <alignment horizontal="left" vertical="center"/>
    </xf>
    <xf numFmtId="0" fontId="23" fillId="0" borderId="8" xfId="0" applyFont="1" applyFill="1" applyBorder="1" applyAlignment="1" applyProtection="1">
      <alignment horizontal="left" vertical="center"/>
    </xf>
    <xf numFmtId="43" fontId="18" fillId="0" borderId="8" xfId="1" applyFont="1" applyBorder="1" applyAlignment="1" applyProtection="1">
      <alignment horizontal="left" vertical="center"/>
    </xf>
    <xf numFmtId="43" fontId="18" fillId="0" borderId="8" xfId="1" applyFont="1" applyFill="1" applyBorder="1" applyAlignment="1" applyProtection="1">
      <alignment horizontal="left" vertical="center"/>
    </xf>
    <xf numFmtId="0" fontId="15" fillId="0" borderId="8" xfId="0" applyFont="1" applyBorder="1" applyAlignment="1" applyProtection="1">
      <alignment horizontal="left" vertical="center"/>
    </xf>
    <xf numFmtId="0" fontId="15" fillId="0" borderId="0" xfId="0" applyFont="1" applyAlignment="1">
      <alignment horizontal="left" vertical="center"/>
    </xf>
    <xf numFmtId="0" fontId="15" fillId="0" borderId="0" xfId="0" applyFont="1" applyBorder="1" applyAlignment="1">
      <alignment horizontal="left" vertical="center"/>
    </xf>
    <xf numFmtId="0" fontId="4" fillId="0" borderId="0" xfId="0" applyFont="1" applyFill="1" applyBorder="1" applyAlignment="1" applyProtection="1">
      <alignment horizontal="left" vertical="center"/>
      <protection locked="0"/>
    </xf>
    <xf numFmtId="169" fontId="4" fillId="0" borderId="0" xfId="0" applyNumberFormat="1" applyFont="1" applyFill="1" applyBorder="1" applyAlignment="1" applyProtection="1">
      <alignment horizontal="center" vertical="center"/>
    </xf>
    <xf numFmtId="0" fontId="3" fillId="0" borderId="0" xfId="0" applyFont="1" applyFill="1" applyBorder="1" applyAlignment="1" applyProtection="1">
      <alignment vertical="center"/>
    </xf>
    <xf numFmtId="0" fontId="28" fillId="0" borderId="0" xfId="0" applyFont="1" applyBorder="1" applyAlignment="1" applyProtection="1">
      <alignment vertical="center" wrapText="1"/>
    </xf>
    <xf numFmtId="43" fontId="3" fillId="0" borderId="32" xfId="1" applyFont="1" applyBorder="1" applyAlignment="1" applyProtection="1">
      <alignment vertical="center"/>
    </xf>
    <xf numFmtId="43" fontId="22" fillId="4" borderId="32" xfId="1" applyFont="1" applyFill="1" applyBorder="1" applyAlignment="1" applyProtection="1">
      <alignment vertical="center"/>
    </xf>
    <xf numFmtId="0" fontId="15" fillId="0" borderId="0" xfId="0" applyFont="1" applyBorder="1" applyAlignment="1" applyProtection="1">
      <alignment horizontal="left"/>
    </xf>
    <xf numFmtId="0" fontId="0" fillId="0" borderId="0" xfId="0" applyBorder="1" applyProtection="1"/>
    <xf numFmtId="0" fontId="39" fillId="0" borderId="0" xfId="0" applyFont="1" applyBorder="1" applyAlignment="1" applyProtection="1">
      <alignment horizontal="left" vertical="center"/>
    </xf>
    <xf numFmtId="170" fontId="27" fillId="0" borderId="0" xfId="1" quotePrefix="1" applyNumberFormat="1" applyFont="1" applyBorder="1" applyAlignment="1" applyProtection="1">
      <alignment horizontal="center" vertical="center" shrinkToFit="1"/>
      <protection hidden="1"/>
    </xf>
    <xf numFmtId="170" fontId="27" fillId="0" borderId="0" xfId="1" quotePrefix="1" applyNumberFormat="1" applyFont="1" applyBorder="1" applyAlignment="1" applyProtection="1">
      <alignment horizontal="center" vertical="center" shrinkToFit="1"/>
    </xf>
    <xf numFmtId="43" fontId="22" fillId="4" borderId="18" xfId="1" applyFont="1" applyFill="1" applyBorder="1" applyAlignment="1" applyProtection="1">
      <alignment vertical="center"/>
    </xf>
    <xf numFmtId="168" fontId="4" fillId="0" borderId="0" xfId="1" applyNumberFormat="1" applyFont="1" applyBorder="1" applyAlignment="1" applyProtection="1">
      <alignment horizontal="left" vertical="center"/>
      <protection hidden="1"/>
    </xf>
    <xf numFmtId="170" fontId="4" fillId="0" borderId="0" xfId="1" applyNumberFormat="1" applyFont="1" applyBorder="1" applyAlignment="1" applyProtection="1">
      <alignment horizontal="center" vertical="center"/>
    </xf>
    <xf numFmtId="170" fontId="15" fillId="0" borderId="0" xfId="0" applyNumberFormat="1" applyFont="1" applyBorder="1" applyAlignment="1" applyProtection="1">
      <alignment horizontal="center"/>
    </xf>
    <xf numFmtId="169" fontId="4" fillId="0" borderId="0" xfId="0" applyNumberFormat="1" applyFont="1" applyBorder="1" applyAlignment="1" applyProtection="1">
      <alignment vertical="center"/>
    </xf>
    <xf numFmtId="169" fontId="6" fillId="0" borderId="0" xfId="0" applyNumberFormat="1" applyFont="1" applyBorder="1" applyAlignment="1" applyProtection="1">
      <alignment vertical="center"/>
    </xf>
    <xf numFmtId="0" fontId="4" fillId="3" borderId="8" xfId="0" applyFont="1" applyFill="1" applyBorder="1" applyAlignment="1" applyProtection="1">
      <alignment horizontal="left" vertical="center"/>
      <protection locked="0"/>
    </xf>
    <xf numFmtId="0" fontId="45" fillId="0" borderId="0" xfId="2" applyFont="1" applyAlignment="1" applyProtection="1">
      <alignment vertical="center"/>
    </xf>
    <xf numFmtId="0" fontId="31" fillId="0" borderId="0" xfId="0" applyFont="1" applyAlignment="1">
      <alignment vertical="center"/>
    </xf>
    <xf numFmtId="0" fontId="29" fillId="0" borderId="0" xfId="0" applyFont="1" applyAlignment="1">
      <alignment vertical="center"/>
    </xf>
    <xf numFmtId="0" fontId="29" fillId="0" borderId="0" xfId="0" applyFont="1" applyAlignment="1">
      <alignment horizontal="left" vertical="center"/>
    </xf>
    <xf numFmtId="167" fontId="29" fillId="0" borderId="0" xfId="0" applyNumberFormat="1" applyFont="1" applyAlignment="1">
      <alignment horizontal="left" vertical="center"/>
    </xf>
    <xf numFmtId="0" fontId="31" fillId="0" borderId="0" xfId="0" applyFont="1" applyBorder="1" applyAlignment="1">
      <alignment vertical="center"/>
    </xf>
    <xf numFmtId="0" fontId="29" fillId="0" borderId="0" xfId="0" applyFont="1" applyFill="1" applyAlignment="1">
      <alignment vertical="center"/>
    </xf>
    <xf numFmtId="0" fontId="31" fillId="0" borderId="0" xfId="0" applyFont="1" applyFill="1" applyBorder="1" applyAlignment="1" applyProtection="1">
      <alignment vertical="center"/>
      <protection locked="0"/>
    </xf>
    <xf numFmtId="0" fontId="40" fillId="15" borderId="8" xfId="0" applyFont="1" applyFill="1" applyBorder="1" applyAlignment="1">
      <alignment vertical="center"/>
    </xf>
    <xf numFmtId="172" fontId="40" fillId="15" borderId="8" xfId="0" applyNumberFormat="1" applyFont="1" applyFill="1" applyBorder="1" applyAlignment="1">
      <alignment vertical="center"/>
    </xf>
    <xf numFmtId="176" fontId="31" fillId="0" borderId="8" xfId="0" applyNumberFormat="1" applyFont="1" applyBorder="1" applyAlignment="1">
      <alignment horizontal="left" vertical="center"/>
    </xf>
    <xf numFmtId="0" fontId="31" fillId="0" borderId="0" xfId="0" applyFont="1" applyFill="1" applyBorder="1" applyAlignment="1" applyProtection="1">
      <alignment horizontal="left" vertical="center" wrapText="1"/>
    </xf>
    <xf numFmtId="0" fontId="31" fillId="0" borderId="0" xfId="0" applyFont="1" applyFill="1" applyBorder="1" applyAlignment="1" applyProtection="1">
      <alignment vertical="center" wrapText="1"/>
    </xf>
    <xf numFmtId="0" fontId="31" fillId="0" borderId="0" xfId="0" applyFont="1" applyAlignment="1" applyProtection="1">
      <alignment vertical="center"/>
    </xf>
    <xf numFmtId="0" fontId="31" fillId="0" borderId="0" xfId="0" applyFont="1" applyFill="1" applyBorder="1" applyAlignment="1" applyProtection="1">
      <alignment vertical="center"/>
    </xf>
    <xf numFmtId="0" fontId="30" fillId="0" borderId="0" xfId="0" applyFont="1" applyAlignment="1">
      <alignment horizontal="left" vertical="center"/>
    </xf>
    <xf numFmtId="0" fontId="20" fillId="0" borderId="0" xfId="0" applyFont="1" applyFill="1" applyBorder="1" applyAlignment="1" applyProtection="1">
      <alignment horizontal="center"/>
      <protection locked="0"/>
    </xf>
    <xf numFmtId="0" fontId="31" fillId="0" borderId="0" xfId="0" applyFont="1" applyAlignment="1">
      <alignment vertical="center"/>
    </xf>
    <xf numFmtId="0" fontId="29" fillId="0" borderId="8" xfId="0" applyFont="1" applyFill="1" applyBorder="1" applyAlignment="1" applyProtection="1">
      <alignment horizontal="center" vertical="center"/>
    </xf>
    <xf numFmtId="0" fontId="30" fillId="0" borderId="0" xfId="0" applyFont="1" applyAlignment="1">
      <alignment horizontal="right" vertical="center"/>
    </xf>
    <xf numFmtId="0" fontId="30" fillId="0" borderId="0" xfId="0" applyFont="1" applyFill="1" applyBorder="1" applyAlignment="1" applyProtection="1">
      <alignment horizontal="left" vertical="center"/>
    </xf>
    <xf numFmtId="0" fontId="15" fillId="0" borderId="0" xfId="0" applyFont="1" applyAlignment="1" applyProtection="1">
      <alignment vertical="center"/>
    </xf>
    <xf numFmtId="0" fontId="29" fillId="0" borderId="0" xfId="0" applyFont="1" applyAlignment="1" applyProtection="1">
      <alignment vertical="center"/>
    </xf>
    <xf numFmtId="167" fontId="29" fillId="0" borderId="0" xfId="0" applyNumberFormat="1" applyFont="1" applyAlignment="1" applyProtection="1">
      <alignment horizontal="left" vertical="center"/>
    </xf>
    <xf numFmtId="0" fontId="31" fillId="0" borderId="1" xfId="0" applyFont="1" applyBorder="1" applyAlignment="1" applyProtection="1">
      <alignment horizontal="left" vertical="center"/>
    </xf>
    <xf numFmtId="166" fontId="31" fillId="0" borderId="5" xfId="0" applyNumberFormat="1" applyFont="1" applyBorder="1" applyAlignment="1" applyProtection="1">
      <alignment vertical="center"/>
    </xf>
    <xf numFmtId="166" fontId="31" fillId="0" borderId="1" xfId="0" applyNumberFormat="1" applyFont="1" applyBorder="1" applyAlignment="1" applyProtection="1">
      <alignment vertical="center"/>
    </xf>
    <xf numFmtId="0" fontId="21" fillId="0" borderId="39" xfId="0" applyFont="1" applyBorder="1" applyAlignment="1" applyProtection="1">
      <alignment vertical="center"/>
    </xf>
    <xf numFmtId="0" fontId="33" fillId="0" borderId="0" xfId="0" applyFont="1" applyFill="1" applyBorder="1" applyAlignment="1" applyProtection="1">
      <alignment vertical="center"/>
    </xf>
    <xf numFmtId="0" fontId="29" fillId="0" borderId="0" xfId="0" applyFont="1" applyFill="1" applyBorder="1" applyAlignment="1" applyProtection="1">
      <alignment vertical="center"/>
    </xf>
    <xf numFmtId="170" fontId="31" fillId="0" borderId="0" xfId="0" applyNumberFormat="1" applyFont="1" applyFill="1" applyBorder="1" applyAlignment="1" applyProtection="1">
      <alignment vertical="center"/>
    </xf>
    <xf numFmtId="0" fontId="31" fillId="0" borderId="0" xfId="0" applyFont="1" applyFill="1" applyAlignment="1" applyProtection="1">
      <alignment vertical="center"/>
    </xf>
    <xf numFmtId="0" fontId="31" fillId="0" borderId="0" xfId="0" applyFont="1" applyAlignment="1">
      <alignment vertical="center"/>
    </xf>
    <xf numFmtId="0" fontId="50" fillId="0" borderId="0" xfId="0" applyFont="1" applyFill="1" applyBorder="1" applyAlignment="1">
      <alignment horizontal="center" vertical="center"/>
    </xf>
    <xf numFmtId="0" fontId="23" fillId="0" borderId="17" xfId="0" applyFont="1" applyBorder="1" applyAlignment="1" applyProtection="1">
      <alignment horizontal="left" vertical="center"/>
    </xf>
    <xf numFmtId="173" fontId="0" fillId="0" borderId="0" xfId="0" applyNumberFormat="1" applyProtection="1"/>
    <xf numFmtId="0" fontId="15" fillId="0" borderId="8" xfId="0" applyFont="1" applyBorder="1" applyAlignment="1">
      <alignment horizontal="left" vertical="center"/>
    </xf>
    <xf numFmtId="167" fontId="4" fillId="0" borderId="21" xfId="1" applyNumberFormat="1" applyFont="1" applyFill="1" applyBorder="1" applyAlignment="1" applyProtection="1">
      <alignment vertical="center" shrinkToFit="1"/>
    </xf>
    <xf numFmtId="167" fontId="4" fillId="0" borderId="0" xfId="1" applyNumberFormat="1" applyFont="1" applyFill="1" applyBorder="1" applyAlignment="1" applyProtection="1">
      <alignment vertical="center" shrinkToFit="1"/>
    </xf>
    <xf numFmtId="167" fontId="4" fillId="0" borderId="8" xfId="1" applyNumberFormat="1" applyFont="1" applyFill="1" applyBorder="1" applyAlignment="1" applyProtection="1">
      <alignment vertical="center" shrinkToFit="1"/>
    </xf>
    <xf numFmtId="175" fontId="6" fillId="0" borderId="20" xfId="1" applyNumberFormat="1" applyFont="1" applyFill="1" applyBorder="1" applyAlignment="1" applyProtection="1">
      <alignment horizontal="center" vertical="center" shrinkToFit="1"/>
    </xf>
    <xf numFmtId="0" fontId="31" fillId="0" borderId="0" xfId="0" applyFont="1" applyAlignment="1">
      <alignment vertical="center"/>
    </xf>
    <xf numFmtId="0" fontId="29" fillId="0" borderId="0" xfId="0" applyFont="1" applyAlignment="1" applyProtection="1">
      <alignment horizontal="left" vertical="center"/>
    </xf>
    <xf numFmtId="0" fontId="29" fillId="0" borderId="8" xfId="0" applyFont="1" applyFill="1" applyBorder="1" applyAlignment="1" applyProtection="1">
      <alignment horizontal="left" vertical="center"/>
    </xf>
    <xf numFmtId="0" fontId="31" fillId="0" borderId="8" xfId="0" applyFont="1" applyBorder="1" applyAlignment="1" applyProtection="1">
      <alignment horizontal="center" vertical="center"/>
    </xf>
    <xf numFmtId="0" fontId="31" fillId="0" borderId="0" xfId="0" applyFont="1" applyAlignment="1">
      <alignment horizontal="right" vertical="center"/>
    </xf>
    <xf numFmtId="0" fontId="55" fillId="0" borderId="0" xfId="0" applyFont="1" applyAlignment="1" applyProtection="1">
      <alignment horizontal="left" vertical="center"/>
    </xf>
    <xf numFmtId="0" fontId="31" fillId="0" borderId="0" xfId="0" applyFont="1" applyAlignment="1">
      <alignment vertical="center"/>
    </xf>
    <xf numFmtId="0" fontId="31" fillId="0" borderId="0" xfId="0" applyFont="1" applyAlignment="1">
      <alignment vertical="center"/>
    </xf>
    <xf numFmtId="0" fontId="43" fillId="0" borderId="0" xfId="0" applyFont="1" applyAlignment="1">
      <alignment vertical="center"/>
    </xf>
    <xf numFmtId="0" fontId="56" fillId="0" borderId="0" xfId="0" applyFont="1" applyAlignment="1">
      <alignment vertical="center"/>
    </xf>
    <xf numFmtId="0" fontId="56" fillId="0" borderId="0" xfId="0" applyFont="1" applyAlignment="1">
      <alignment horizontal="center" vertical="center"/>
    </xf>
    <xf numFmtId="0" fontId="43" fillId="0" borderId="0" xfId="0" applyFont="1" applyBorder="1" applyAlignment="1">
      <alignment horizontal="center" vertical="center"/>
    </xf>
    <xf numFmtId="0" fontId="43" fillId="0" borderId="0" xfId="0" applyFont="1" applyBorder="1" applyAlignment="1">
      <alignment vertical="center"/>
    </xf>
    <xf numFmtId="0" fontId="70" fillId="0" borderId="0" xfId="0" applyFont="1" applyBorder="1" applyAlignment="1">
      <alignment horizontal="left" vertical="center"/>
    </xf>
    <xf numFmtId="0" fontId="56" fillId="0" borderId="0" xfId="0" applyFont="1" applyBorder="1" applyAlignment="1">
      <alignment horizontal="center" vertical="center"/>
    </xf>
    <xf numFmtId="0" fontId="56" fillId="0" borderId="0" xfId="0" applyFont="1" applyFill="1" applyBorder="1" applyAlignment="1">
      <alignment vertical="center"/>
    </xf>
    <xf numFmtId="0" fontId="56" fillId="0" borderId="0" xfId="0" applyFont="1" applyBorder="1" applyAlignment="1">
      <alignment vertical="center"/>
    </xf>
    <xf numFmtId="0" fontId="43" fillId="7" borderId="8" xfId="0" applyFont="1" applyFill="1" applyBorder="1" applyAlignment="1" applyProtection="1">
      <alignment horizontal="center" vertical="center"/>
    </xf>
    <xf numFmtId="0" fontId="43" fillId="0" borderId="0" xfId="0" applyFont="1" applyAlignment="1">
      <alignment vertical="center" wrapText="1"/>
    </xf>
    <xf numFmtId="0" fontId="71" fillId="0" borderId="0" xfId="0" applyFont="1" applyFill="1" applyBorder="1" applyAlignment="1">
      <alignment horizontal="center" vertical="center"/>
    </xf>
    <xf numFmtId="173" fontId="56" fillId="0" borderId="0" xfId="0" applyNumberFormat="1" applyFont="1" applyBorder="1" applyAlignment="1">
      <alignment horizontal="center" vertical="center"/>
    </xf>
    <xf numFmtId="0" fontId="43" fillId="0" borderId="0" xfId="0" applyFont="1" applyAlignment="1">
      <alignment horizontal="center" vertical="center"/>
    </xf>
    <xf numFmtId="0" fontId="70" fillId="0" borderId="0" xfId="0" applyFont="1" applyBorder="1" applyAlignment="1">
      <alignment horizontal="center" vertical="center"/>
    </xf>
    <xf numFmtId="0" fontId="43" fillId="0" borderId="3" xfId="0" applyFont="1" applyBorder="1" applyAlignment="1">
      <alignment horizontal="center" vertical="center"/>
    </xf>
    <xf numFmtId="0" fontId="69" fillId="0" borderId="0" xfId="0" applyFont="1" applyBorder="1" applyAlignment="1">
      <alignment horizontal="center" vertical="center"/>
    </xf>
    <xf numFmtId="0" fontId="43" fillId="0" borderId="0" xfId="0" applyFont="1" applyAlignment="1">
      <alignment horizontal="left" vertical="center"/>
    </xf>
    <xf numFmtId="0" fontId="55" fillId="0" borderId="0" xfId="0" applyFont="1" applyBorder="1" applyAlignment="1">
      <alignment horizontal="left" vertical="center"/>
    </xf>
    <xf numFmtId="0" fontId="43" fillId="0" borderId="8" xfId="0" applyFont="1" applyBorder="1" applyAlignment="1">
      <alignment horizontal="left" vertical="center"/>
    </xf>
    <xf numFmtId="0" fontId="43" fillId="0" borderId="0" xfId="0" applyFont="1" applyBorder="1" applyAlignment="1">
      <alignment horizontal="left" vertical="center"/>
    </xf>
    <xf numFmtId="0" fontId="43" fillId="0" borderId="8" xfId="0" applyFont="1" applyBorder="1" applyAlignment="1">
      <alignment horizontal="center" vertical="center"/>
    </xf>
    <xf numFmtId="0" fontId="65" fillId="0" borderId="0" xfId="0" applyFont="1" applyFill="1" applyBorder="1" applyAlignment="1">
      <alignment horizontal="left" vertical="center"/>
    </xf>
    <xf numFmtId="0" fontId="43" fillId="0" borderId="0" xfId="0" applyFont="1" applyAlignment="1" applyProtection="1">
      <alignment horizontal="center" vertical="center"/>
    </xf>
    <xf numFmtId="0" fontId="43" fillId="0" borderId="0" xfId="0" applyFont="1" applyAlignment="1" applyProtection="1">
      <alignment horizontal="left" vertical="center"/>
    </xf>
    <xf numFmtId="0" fontId="67" fillId="17" borderId="0" xfId="0" applyFont="1" applyFill="1" applyAlignment="1">
      <alignment vertical="center"/>
    </xf>
    <xf numFmtId="0" fontId="50" fillId="0" borderId="0" xfId="0" applyFont="1" applyFill="1" applyBorder="1" applyAlignment="1">
      <alignment vertical="center"/>
    </xf>
    <xf numFmtId="0" fontId="43" fillId="0" borderId="0" xfId="0" applyFont="1" applyFill="1" applyAlignment="1">
      <alignment vertical="center"/>
    </xf>
    <xf numFmtId="0" fontId="15" fillId="0" borderId="52" xfId="0" applyFont="1" applyBorder="1" applyAlignment="1">
      <alignment vertical="center" wrapText="1"/>
    </xf>
    <xf numFmtId="0" fontId="50" fillId="12" borderId="0" xfId="0" applyFont="1" applyFill="1" applyBorder="1" applyAlignment="1">
      <alignment vertical="center"/>
    </xf>
    <xf numFmtId="0" fontId="31" fillId="0" borderId="0" xfId="0" applyFont="1" applyFill="1" applyAlignment="1">
      <alignment vertical="center"/>
    </xf>
    <xf numFmtId="0" fontId="23" fillId="0" borderId="21" xfId="0" applyFont="1" applyBorder="1" applyAlignment="1" applyProtection="1">
      <alignment horizontal="left" vertical="center"/>
    </xf>
    <xf numFmtId="0" fontId="21" fillId="0" borderId="0" xfId="0" applyFont="1" applyAlignment="1">
      <alignment horizontal="left" vertical="center"/>
    </xf>
    <xf numFmtId="174" fontId="56" fillId="0" borderId="0" xfId="0" applyNumberFormat="1" applyFont="1" applyFill="1" applyBorder="1" applyAlignment="1">
      <alignment horizontal="left" vertical="center"/>
    </xf>
    <xf numFmtId="0" fontId="55" fillId="0" borderId="0" xfId="0" applyFont="1" applyFill="1" applyBorder="1" applyAlignment="1">
      <alignment horizontal="left" vertical="center"/>
    </xf>
    <xf numFmtId="0" fontId="31" fillId="0" borderId="0" xfId="0" applyFont="1" applyBorder="1" applyAlignment="1">
      <alignment horizontal="left" vertical="center"/>
    </xf>
    <xf numFmtId="166" fontId="85" fillId="0" borderId="8" xfId="0" applyNumberFormat="1" applyFont="1" applyBorder="1" applyAlignment="1" applyProtection="1">
      <alignment horizontal="center" vertical="center"/>
    </xf>
    <xf numFmtId="175" fontId="0" fillId="0" borderId="0" xfId="0" applyNumberFormat="1" applyFont="1" applyBorder="1" applyAlignment="1">
      <alignment horizontal="left" vertical="center"/>
    </xf>
    <xf numFmtId="0" fontId="0" fillId="0" borderId="0" xfId="0" applyFont="1" applyBorder="1" applyAlignment="1">
      <alignment horizontal="left" vertical="center"/>
    </xf>
    <xf numFmtId="167" fontId="0" fillId="0" borderId="0" xfId="0" applyNumberFormat="1" applyFont="1" applyBorder="1" applyAlignment="1">
      <alignment horizontal="left" vertical="center"/>
    </xf>
    <xf numFmtId="175" fontId="43" fillId="0" borderId="0" xfId="0" applyNumberFormat="1" applyFont="1" applyFill="1" applyBorder="1" applyAlignment="1" applyProtection="1">
      <alignment horizontal="center" vertical="center"/>
    </xf>
    <xf numFmtId="0" fontId="68" fillId="0" borderId="0" xfId="0" applyFont="1" applyFill="1" applyBorder="1" applyAlignment="1" applyProtection="1">
      <alignment horizontal="left" vertical="center"/>
    </xf>
    <xf numFmtId="0" fontId="82" fillId="0" borderId="0" xfId="0" applyFont="1" applyFill="1" applyBorder="1" applyAlignment="1" applyProtection="1">
      <alignment horizontal="left" vertical="center"/>
    </xf>
    <xf numFmtId="0" fontId="43" fillId="0" borderId="0" xfId="0" applyFont="1" applyFill="1" applyBorder="1" applyAlignment="1" applyProtection="1">
      <alignment horizontal="center" vertical="center"/>
    </xf>
    <xf numFmtId="0" fontId="56" fillId="0" borderId="0" xfId="0" applyFont="1" applyFill="1" applyBorder="1" applyAlignment="1" applyProtection="1">
      <alignment horizontal="center" vertical="center"/>
    </xf>
    <xf numFmtId="43" fontId="34" fillId="0" borderId="0" xfId="0" applyNumberFormat="1" applyFont="1" applyFill="1" applyBorder="1" applyAlignment="1" applyProtection="1">
      <alignment horizontal="center" vertical="center"/>
    </xf>
    <xf numFmtId="0" fontId="43" fillId="0" borderId="0" xfId="0" applyFont="1" applyFill="1" applyBorder="1" applyAlignment="1">
      <alignment vertical="center"/>
    </xf>
    <xf numFmtId="0" fontId="56" fillId="0" borderId="0" xfId="0" applyNumberFormat="1" applyFont="1" applyFill="1" applyBorder="1" applyAlignment="1">
      <alignment vertical="center"/>
    </xf>
    <xf numFmtId="0" fontId="59" fillId="0" borderId="0" xfId="0" applyFont="1" applyFill="1" applyBorder="1" applyAlignment="1">
      <alignment vertical="center"/>
    </xf>
    <xf numFmtId="177" fontId="31" fillId="0" borderId="0" xfId="0" applyNumberFormat="1" applyFont="1" applyFill="1" applyBorder="1" applyAlignment="1">
      <alignment vertical="center"/>
    </xf>
    <xf numFmtId="175" fontId="31" fillId="0" borderId="0" xfId="0" applyNumberFormat="1" applyFont="1" applyFill="1" applyBorder="1" applyAlignment="1">
      <alignment vertical="center"/>
    </xf>
    <xf numFmtId="0" fontId="31" fillId="0" borderId="0" xfId="0" applyFont="1" applyFill="1" applyBorder="1" applyAlignment="1">
      <alignment vertical="center"/>
    </xf>
    <xf numFmtId="0" fontId="31" fillId="0" borderId="0" xfId="0" applyFont="1" applyFill="1" applyBorder="1" applyAlignment="1">
      <alignment horizontal="left" vertical="center"/>
    </xf>
    <xf numFmtId="0" fontId="85" fillId="0" borderId="0" xfId="0" applyFont="1" applyFill="1" applyBorder="1" applyAlignment="1">
      <alignment vertical="center"/>
    </xf>
    <xf numFmtId="175" fontId="56" fillId="0" borderId="0" xfId="0" applyNumberFormat="1" applyFont="1" applyFill="1" applyBorder="1" applyAlignment="1">
      <alignment vertical="center"/>
    </xf>
    <xf numFmtId="0" fontId="43" fillId="18" borderId="8" xfId="0" applyFont="1" applyFill="1" applyBorder="1" applyAlignment="1">
      <alignment horizontal="center" vertical="center"/>
    </xf>
    <xf numFmtId="0" fontId="84" fillId="0" borderId="0" xfId="0" applyFont="1" applyFill="1" applyBorder="1" applyAlignment="1">
      <alignment horizontal="left" vertical="center"/>
    </xf>
    <xf numFmtId="0" fontId="56" fillId="5" borderId="8" xfId="0" applyFont="1" applyFill="1" applyBorder="1" applyAlignment="1" applyProtection="1">
      <alignment horizontal="center" vertical="center"/>
    </xf>
    <xf numFmtId="0" fontId="56" fillId="0" borderId="8" xfId="0" applyFont="1" applyBorder="1" applyAlignment="1" applyProtection="1">
      <alignment horizontal="center" vertical="center"/>
    </xf>
    <xf numFmtId="0" fontId="56" fillId="18" borderId="8" xfId="0" applyFont="1" applyFill="1" applyBorder="1" applyAlignment="1" applyProtection="1">
      <alignment horizontal="center" vertical="center"/>
    </xf>
    <xf numFmtId="169" fontId="43" fillId="0" borderId="0" xfId="0" applyNumberFormat="1" applyFont="1" applyBorder="1" applyAlignment="1">
      <alignment horizontal="center" vertical="center"/>
    </xf>
    <xf numFmtId="169" fontId="43" fillId="0" borderId="0" xfId="0" applyNumberFormat="1" applyFont="1" applyAlignment="1">
      <alignment horizontal="center" vertical="center"/>
    </xf>
    <xf numFmtId="0" fontId="31" fillId="0" borderId="0" xfId="0" applyFont="1" applyAlignment="1">
      <alignment horizontal="left" vertical="center"/>
    </xf>
    <xf numFmtId="0" fontId="21" fillId="0" borderId="0" xfId="0" applyFont="1" applyFill="1" applyBorder="1" applyAlignment="1">
      <alignment vertical="top" wrapText="1"/>
    </xf>
    <xf numFmtId="0" fontId="56" fillId="0" borderId="0" xfId="0" applyFont="1" applyBorder="1" applyAlignment="1" applyProtection="1">
      <alignment vertical="center"/>
      <protection hidden="1"/>
    </xf>
    <xf numFmtId="0" fontId="56" fillId="0" borderId="2" xfId="0" applyFont="1" applyBorder="1" applyAlignment="1" applyProtection="1">
      <alignment horizontal="left" vertical="center"/>
      <protection hidden="1"/>
    </xf>
    <xf numFmtId="0" fontId="56" fillId="0" borderId="24" xfId="0" applyFont="1" applyBorder="1" applyAlignment="1" applyProtection="1">
      <alignment vertical="center"/>
      <protection hidden="1"/>
    </xf>
    <xf numFmtId="167" fontId="56" fillId="0" borderId="2" xfId="0" applyNumberFormat="1" applyFont="1" applyBorder="1" applyAlignment="1" applyProtection="1">
      <alignment horizontal="left" vertical="center"/>
      <protection hidden="1"/>
    </xf>
    <xf numFmtId="0" fontId="55" fillId="0" borderId="26" xfId="0" applyFont="1" applyFill="1" applyBorder="1" applyAlignment="1" applyProtection="1">
      <alignment horizontal="center" vertical="center"/>
      <protection hidden="1"/>
    </xf>
    <xf numFmtId="0" fontId="55" fillId="0" borderId="28" xfId="0" applyFont="1" applyFill="1" applyBorder="1" applyAlignment="1" applyProtection="1">
      <alignment horizontal="center" vertical="center"/>
      <protection hidden="1"/>
    </xf>
    <xf numFmtId="167" fontId="56" fillId="0" borderId="21" xfId="0" applyNumberFormat="1" applyFont="1" applyBorder="1" applyAlignment="1" applyProtection="1">
      <alignment horizontal="center" vertical="center"/>
      <protection hidden="1"/>
    </xf>
    <xf numFmtId="167" fontId="56" fillId="0" borderId="22" xfId="0" applyNumberFormat="1" applyFont="1" applyBorder="1" applyAlignment="1" applyProtection="1">
      <alignment horizontal="center" vertical="center"/>
      <protection hidden="1"/>
    </xf>
    <xf numFmtId="167" fontId="56" fillId="0" borderId="29" xfId="0" applyNumberFormat="1" applyFont="1" applyBorder="1" applyAlignment="1" applyProtection="1">
      <alignment horizontal="center" vertical="center"/>
      <protection hidden="1"/>
    </xf>
    <xf numFmtId="0" fontId="43" fillId="0" borderId="0" xfId="0" applyFont="1" applyFill="1" applyBorder="1" applyAlignment="1" applyProtection="1">
      <alignment horizontal="center" vertical="center"/>
      <protection hidden="1"/>
    </xf>
    <xf numFmtId="0" fontId="64" fillId="0" borderId="0" xfId="0" applyFont="1" applyFill="1" applyBorder="1" applyAlignment="1" applyProtection="1">
      <alignment horizontal="left" vertical="center" wrapText="1"/>
      <protection hidden="1"/>
    </xf>
    <xf numFmtId="0" fontId="56" fillId="0" borderId="0" xfId="0" applyFont="1" applyBorder="1" applyAlignment="1" applyProtection="1">
      <alignment horizontal="left" vertical="center"/>
      <protection hidden="1"/>
    </xf>
    <xf numFmtId="0" fontId="43" fillId="0" borderId="0" xfId="0" applyFont="1" applyBorder="1" applyAlignment="1" applyProtection="1">
      <alignment horizontal="center" vertical="center"/>
      <protection hidden="1"/>
    </xf>
    <xf numFmtId="0" fontId="43" fillId="0" borderId="0" xfId="0" applyFont="1" applyBorder="1" applyAlignment="1" applyProtection="1">
      <alignment vertical="center"/>
      <protection hidden="1"/>
    </xf>
    <xf numFmtId="0" fontId="43" fillId="0" borderId="0" xfId="0" applyFont="1" applyAlignment="1" applyProtection="1">
      <alignment vertical="center"/>
      <protection hidden="1"/>
    </xf>
    <xf numFmtId="0" fontId="23" fillId="0" borderId="25" xfId="0" applyFont="1" applyBorder="1" applyAlignment="1" applyProtection="1">
      <alignment horizontal="left" vertical="center"/>
    </xf>
    <xf numFmtId="0" fontId="37" fillId="0" borderId="0" xfId="0" applyFont="1" applyAlignment="1">
      <alignment vertical="center" wrapText="1"/>
    </xf>
    <xf numFmtId="0" fontId="63" fillId="0" borderId="0" xfId="0" applyFont="1" applyAlignment="1">
      <alignment vertical="center" wrapText="1"/>
    </xf>
    <xf numFmtId="4" fontId="31" fillId="0" borderId="8" xfId="0" applyNumberFormat="1" applyFont="1" applyBorder="1" applyAlignment="1">
      <alignment horizontal="right" vertical="center"/>
    </xf>
    <xf numFmtId="4" fontId="56" fillId="0" borderId="8" xfId="0" applyNumberFormat="1" applyFont="1" applyBorder="1" applyAlignment="1">
      <alignment horizontal="right" vertical="center"/>
    </xf>
    <xf numFmtId="4" fontId="29" fillId="0" borderId="8" xfId="0" applyNumberFormat="1" applyFont="1" applyBorder="1" applyAlignment="1">
      <alignment horizontal="right" vertical="center"/>
    </xf>
    <xf numFmtId="4" fontId="30" fillId="0" borderId="8" xfId="0" applyNumberFormat="1" applyFont="1" applyBorder="1" applyAlignment="1">
      <alignment horizontal="right" vertical="center"/>
    </xf>
    <xf numFmtId="4" fontId="31" fillId="0" borderId="8" xfId="0" applyNumberFormat="1" applyFont="1" applyBorder="1" applyAlignment="1" applyProtection="1">
      <alignment vertical="center"/>
    </xf>
    <xf numFmtId="4" fontId="29" fillId="0" borderId="8" xfId="0" applyNumberFormat="1" applyFont="1" applyFill="1" applyBorder="1" applyAlignment="1">
      <alignment vertical="center"/>
    </xf>
    <xf numFmtId="0" fontId="37" fillId="0" borderId="4" xfId="0" applyFont="1" applyBorder="1" applyAlignment="1">
      <alignment vertical="center"/>
    </xf>
    <xf numFmtId="0" fontId="37" fillId="0" borderId="15" xfId="0" applyFont="1" applyBorder="1" applyAlignment="1">
      <alignment vertical="center" wrapText="1"/>
    </xf>
    <xf numFmtId="2" fontId="31" fillId="0" borderId="8" xfId="0" applyNumberFormat="1" applyFont="1" applyBorder="1" applyAlignment="1">
      <alignment horizontal="right" vertical="center"/>
    </xf>
    <xf numFmtId="2" fontId="56" fillId="0" borderId="8" xfId="0" applyNumberFormat="1" applyFont="1" applyBorder="1" applyAlignment="1">
      <alignment horizontal="right" vertical="center"/>
    </xf>
    <xf numFmtId="2" fontId="29" fillId="0" borderId="8" xfId="0" applyNumberFormat="1" applyFont="1" applyBorder="1" applyAlignment="1">
      <alignment horizontal="right" vertical="center"/>
    </xf>
    <xf numFmtId="2" fontId="30" fillId="0" borderId="8" xfId="0" applyNumberFormat="1" applyFont="1" applyBorder="1" applyAlignment="1">
      <alignment horizontal="right" vertical="center"/>
    </xf>
    <xf numFmtId="4" fontId="43" fillId="0" borderId="0" xfId="0" applyNumberFormat="1" applyFont="1" applyAlignment="1">
      <alignment horizontal="left" vertical="center"/>
    </xf>
    <xf numFmtId="4" fontId="88" fillId="0" borderId="0" xfId="0" applyNumberFormat="1" applyFont="1" applyFill="1" applyBorder="1" applyAlignment="1">
      <alignment horizontal="left" vertical="center"/>
    </xf>
    <xf numFmtId="0" fontId="21" fillId="0" borderId="0" xfId="0" applyFont="1" applyFill="1" applyBorder="1" applyAlignment="1">
      <alignment vertical="top"/>
    </xf>
    <xf numFmtId="0" fontId="56" fillId="0" borderId="10" xfId="0" applyFont="1" applyBorder="1" applyAlignment="1">
      <alignment horizontal="center" vertical="center"/>
    </xf>
    <xf numFmtId="0" fontId="43" fillId="0" borderId="10" xfId="0" applyFont="1" applyBorder="1" applyAlignment="1">
      <alignment horizontal="center" vertical="center"/>
    </xf>
    <xf numFmtId="0" fontId="43" fillId="0" borderId="44" xfId="0" applyFont="1" applyBorder="1" applyAlignment="1">
      <alignment horizontal="center" vertical="center"/>
    </xf>
    <xf numFmtId="0" fontId="56" fillId="0" borderId="2" xfId="0" applyFont="1" applyBorder="1" applyAlignment="1">
      <alignment vertical="center"/>
    </xf>
    <xf numFmtId="0" fontId="56" fillId="0" borderId="37" xfId="0" applyFont="1" applyBorder="1" applyAlignment="1">
      <alignment vertical="center"/>
    </xf>
    <xf numFmtId="173" fontId="55" fillId="0" borderId="0" xfId="0" applyNumberFormat="1" applyFont="1" applyBorder="1" applyAlignment="1">
      <alignment vertical="center"/>
    </xf>
    <xf numFmtId="0" fontId="71" fillId="0" borderId="0" xfId="0" applyFont="1" applyFill="1" applyBorder="1" applyAlignment="1">
      <alignment vertical="center"/>
    </xf>
    <xf numFmtId="4" fontId="30" fillId="0" borderId="8" xfId="0" applyNumberFormat="1" applyFont="1" applyFill="1" applyBorder="1" applyAlignment="1" applyProtection="1">
      <alignment horizontal="right" vertical="center"/>
    </xf>
    <xf numFmtId="0" fontId="56" fillId="0" borderId="20" xfId="0" applyFont="1" applyBorder="1" applyAlignment="1">
      <alignment horizontal="left" vertical="center"/>
    </xf>
    <xf numFmtId="0" fontId="56" fillId="0" borderId="21" xfId="0" applyFont="1" applyBorder="1" applyAlignment="1">
      <alignment vertical="center"/>
    </xf>
    <xf numFmtId="1" fontId="4" fillId="0" borderId="8" xfId="1" applyNumberFormat="1" applyFont="1" applyBorder="1" applyAlignment="1" applyProtection="1">
      <alignment horizontal="right" vertical="center"/>
      <protection hidden="1"/>
    </xf>
    <xf numFmtId="1" fontId="15" fillId="0" borderId="8" xfId="0" applyNumberFormat="1" applyFont="1" applyBorder="1" applyAlignment="1" applyProtection="1">
      <alignment horizontal="right" vertical="top"/>
    </xf>
    <xf numFmtId="1" fontId="4" fillId="0" borderId="8" xfId="1" quotePrefix="1" applyNumberFormat="1" applyFont="1" applyBorder="1" applyAlignment="1" applyProtection="1">
      <alignment horizontal="center" vertical="center" shrinkToFit="1"/>
    </xf>
    <xf numFmtId="1" fontId="4" fillId="5" borderId="8" xfId="1" applyNumberFormat="1" applyFont="1" applyFill="1" applyBorder="1" applyAlignment="1" applyProtection="1">
      <alignment horizontal="center" vertical="center"/>
    </xf>
    <xf numFmtId="1" fontId="4" fillId="0" borderId="8" xfId="1" applyNumberFormat="1" applyFont="1" applyFill="1" applyBorder="1" applyAlignment="1" applyProtection="1">
      <alignment horizontal="center" vertical="center"/>
    </xf>
    <xf numFmtId="1" fontId="4" fillId="3" borderId="8" xfId="1" applyNumberFormat="1" applyFont="1" applyFill="1" applyBorder="1" applyAlignment="1" applyProtection="1">
      <alignment horizontal="center" vertical="center"/>
      <protection locked="0"/>
    </xf>
    <xf numFmtId="1" fontId="4" fillId="0" borderId="8" xfId="1" applyNumberFormat="1" applyFont="1" applyBorder="1" applyAlignment="1" applyProtection="1">
      <alignment horizontal="center" vertical="center"/>
    </xf>
    <xf numFmtId="3" fontId="4" fillId="0" borderId="8" xfId="1" applyNumberFormat="1" applyFont="1" applyBorder="1" applyAlignment="1" applyProtection="1">
      <alignment horizontal="center" vertical="center"/>
      <protection hidden="1"/>
    </xf>
    <xf numFmtId="4" fontId="30" fillId="0" borderId="8" xfId="0" applyNumberFormat="1" applyFont="1" applyFill="1" applyBorder="1" applyAlignment="1" applyProtection="1">
      <alignment vertical="center"/>
    </xf>
    <xf numFmtId="0" fontId="89" fillId="0" borderId="0" xfId="0" applyFont="1" applyAlignment="1">
      <alignment vertical="center"/>
    </xf>
    <xf numFmtId="4" fontId="43" fillId="0" borderId="0" xfId="0" applyNumberFormat="1" applyFont="1" applyAlignment="1">
      <alignment vertical="center"/>
    </xf>
    <xf numFmtId="0" fontId="67" fillId="17" borderId="0" xfId="0" applyFont="1" applyFill="1" applyBorder="1" applyAlignment="1">
      <alignment vertical="center"/>
    </xf>
    <xf numFmtId="0" fontId="21" fillId="7" borderId="8" xfId="0" applyFont="1" applyFill="1" applyBorder="1" applyAlignment="1">
      <alignment horizontal="center" vertical="center"/>
    </xf>
    <xf numFmtId="181" fontId="34" fillId="0" borderId="21" xfId="0" applyNumberFormat="1" applyFont="1" applyBorder="1" applyAlignment="1">
      <alignment horizontal="right" vertical="center"/>
    </xf>
    <xf numFmtId="0" fontId="63" fillId="0" borderId="0" xfId="0" applyFont="1" applyAlignment="1">
      <alignment horizontal="left" vertical="center"/>
    </xf>
    <xf numFmtId="0" fontId="16" fillId="5" borderId="0" xfId="0" applyFont="1" applyFill="1" applyBorder="1" applyAlignment="1" applyProtection="1">
      <alignment vertical="center"/>
    </xf>
    <xf numFmtId="0" fontId="21" fillId="0" borderId="33" xfId="0" applyFont="1" applyBorder="1" applyAlignment="1" applyProtection="1">
      <alignment horizontal="left" vertical="center"/>
      <protection hidden="1"/>
    </xf>
    <xf numFmtId="0" fontId="21" fillId="0" borderId="32" xfId="0" applyFont="1" applyBorder="1" applyAlignment="1" applyProtection="1">
      <alignment horizontal="left" vertical="center"/>
      <protection hidden="1"/>
    </xf>
    <xf numFmtId="0" fontId="21" fillId="0" borderId="16" xfId="0" applyFont="1" applyBorder="1" applyAlignment="1" applyProtection="1">
      <alignment horizontal="left" vertical="center"/>
      <protection hidden="1"/>
    </xf>
    <xf numFmtId="2" fontId="37" fillId="0" borderId="1" xfId="0" applyNumberFormat="1" applyFont="1" applyBorder="1" applyAlignment="1">
      <alignment vertical="center" wrapText="1"/>
    </xf>
    <xf numFmtId="0" fontId="71" fillId="19" borderId="8" xfId="0" applyNumberFormat="1" applyFont="1" applyFill="1" applyBorder="1" applyAlignment="1" applyProtection="1">
      <alignment horizontal="center" vertical="center" wrapText="1"/>
      <protection locked="0"/>
    </xf>
    <xf numFmtId="10" fontId="43" fillId="14" borderId="8" xfId="0" applyNumberFormat="1" applyFont="1" applyFill="1" applyBorder="1" applyAlignment="1" applyProtection="1">
      <alignment horizontal="center" vertical="center"/>
      <protection locked="0"/>
    </xf>
    <xf numFmtId="0" fontId="21" fillId="0" borderId="0" xfId="0" applyFont="1" applyAlignment="1">
      <alignment vertical="center"/>
    </xf>
    <xf numFmtId="0" fontId="21" fillId="0" borderId="32" xfId="0" applyFont="1" applyBorder="1" applyAlignment="1">
      <alignment vertical="center"/>
    </xf>
    <xf numFmtId="0" fontId="21" fillId="0" borderId="0" xfId="0" applyFont="1" applyBorder="1" applyAlignment="1">
      <alignment vertical="center"/>
    </xf>
    <xf numFmtId="0" fontId="21" fillId="0" borderId="38" xfId="0" applyFont="1" applyBorder="1" applyAlignment="1">
      <alignment vertical="center"/>
    </xf>
    <xf numFmtId="0" fontId="21" fillId="0" borderId="16" xfId="0" applyFont="1" applyBorder="1" applyAlignment="1">
      <alignment horizontal="left" vertical="center"/>
    </xf>
    <xf numFmtId="0" fontId="21" fillId="0" borderId="39" xfId="0" applyFont="1" applyBorder="1" applyAlignment="1">
      <alignment horizontal="left" vertical="center"/>
    </xf>
    <xf numFmtId="0" fontId="21" fillId="0" borderId="40" xfId="0" applyFont="1" applyBorder="1" applyAlignment="1">
      <alignment horizontal="left" vertical="center"/>
    </xf>
    <xf numFmtId="0" fontId="21" fillId="0" borderId="16" xfId="0" applyFont="1" applyBorder="1" applyAlignment="1">
      <alignment vertical="center"/>
    </xf>
    <xf numFmtId="0" fontId="21" fillId="0" borderId="39" xfId="0" applyFont="1" applyBorder="1" applyAlignment="1">
      <alignment vertical="center"/>
    </xf>
    <xf numFmtId="0" fontId="21" fillId="0" borderId="40" xfId="0" applyFont="1" applyBorder="1" applyAlignment="1">
      <alignment vertical="center"/>
    </xf>
    <xf numFmtId="173" fontId="43" fillId="0" borderId="0" xfId="0" applyNumberFormat="1" applyFont="1" applyAlignment="1">
      <alignment vertical="center"/>
    </xf>
    <xf numFmtId="173" fontId="43" fillId="0" borderId="0" xfId="0" applyNumberFormat="1" applyFont="1" applyBorder="1" applyAlignment="1">
      <alignment vertical="center"/>
    </xf>
    <xf numFmtId="166" fontId="31" fillId="0" borderId="0" xfId="0" applyNumberFormat="1" applyFont="1" applyBorder="1" applyAlignment="1">
      <alignment vertical="center"/>
    </xf>
    <xf numFmtId="176" fontId="58" fillId="0" borderId="14" xfId="0" applyNumberFormat="1" applyFont="1" applyFill="1" applyBorder="1" applyAlignment="1" applyProtection="1">
      <alignment horizontal="center" vertical="center"/>
    </xf>
    <xf numFmtId="0" fontId="29" fillId="0" borderId="24" xfId="0" applyFont="1" applyBorder="1" applyAlignment="1">
      <alignment vertical="center"/>
    </xf>
    <xf numFmtId="0" fontId="29" fillId="0" borderId="36" xfId="0" applyFont="1" applyBorder="1" applyAlignment="1">
      <alignment vertical="center"/>
    </xf>
    <xf numFmtId="0" fontId="29" fillId="0" borderId="13" xfId="0" applyFont="1" applyBorder="1" applyAlignment="1">
      <alignment vertical="center"/>
    </xf>
    <xf numFmtId="0" fontId="29" fillId="0" borderId="14" xfId="0" applyFont="1" applyBorder="1" applyAlignment="1">
      <alignment vertical="center"/>
    </xf>
    <xf numFmtId="0" fontId="15" fillId="14" borderId="28" xfId="0" applyFont="1" applyFill="1" applyBorder="1" applyAlignment="1">
      <alignment horizontal="left" vertical="center"/>
    </xf>
    <xf numFmtId="0" fontId="15" fillId="0" borderId="9" xfId="0" applyFont="1" applyFill="1" applyBorder="1" applyAlignment="1" applyProtection="1">
      <alignment horizontal="left" vertical="center"/>
    </xf>
    <xf numFmtId="0" fontId="56" fillId="14" borderId="30" xfId="0" applyFont="1" applyFill="1" applyBorder="1" applyAlignment="1">
      <alignment vertical="center"/>
    </xf>
    <xf numFmtId="0" fontId="43" fillId="0" borderId="0" xfId="0" applyFont="1" applyAlignment="1" applyProtection="1">
      <alignment horizontal="center" vertical="center"/>
      <protection hidden="1"/>
    </xf>
    <xf numFmtId="0" fontId="55" fillId="0" borderId="28" xfId="0" applyFont="1" applyFill="1" applyBorder="1" applyAlignment="1" applyProtection="1">
      <alignment horizontal="center" vertical="center"/>
      <protection hidden="1"/>
    </xf>
    <xf numFmtId="0" fontId="85" fillId="0" borderId="8" xfId="0" applyFont="1" applyBorder="1" applyAlignment="1">
      <alignment horizontal="center" vertical="center"/>
    </xf>
    <xf numFmtId="0" fontId="0" fillId="0" borderId="18" xfId="0" applyFont="1" applyBorder="1" applyAlignment="1">
      <alignment horizontal="center" vertical="center"/>
    </xf>
    <xf numFmtId="1" fontId="2" fillId="2" borderId="8" xfId="1" applyNumberFormat="1" applyFont="1" applyFill="1" applyBorder="1" applyAlignment="1" applyProtection="1">
      <alignment horizontal="center" vertical="center" wrapText="1"/>
    </xf>
    <xf numFmtId="167" fontId="0" fillId="0" borderId="18" xfId="0" applyNumberFormat="1" applyFont="1" applyBorder="1" applyAlignment="1">
      <alignment horizontal="center" vertical="center"/>
    </xf>
    <xf numFmtId="0" fontId="43" fillId="0" borderId="0" xfId="0" applyFont="1" applyFill="1" applyBorder="1" applyAlignment="1">
      <alignment horizontal="center" vertical="center"/>
    </xf>
    <xf numFmtId="0" fontId="56" fillId="0" borderId="0" xfId="0" applyFont="1" applyFill="1" applyBorder="1" applyAlignment="1">
      <alignment horizontal="center" vertical="center"/>
    </xf>
    <xf numFmtId="0" fontId="0" fillId="0" borderId="27" xfId="0" applyFont="1" applyBorder="1" applyAlignment="1">
      <alignment horizontal="center" vertical="center"/>
    </xf>
    <xf numFmtId="166" fontId="85" fillId="0" borderId="27" xfId="0" applyNumberFormat="1" applyFont="1" applyBorder="1" applyAlignment="1" applyProtection="1">
      <alignment horizontal="center" vertical="center"/>
    </xf>
    <xf numFmtId="0" fontId="83" fillId="0" borderId="31" xfId="0" applyFont="1" applyFill="1" applyBorder="1" applyAlignment="1">
      <alignment horizontal="right" vertical="center"/>
    </xf>
    <xf numFmtId="0" fontId="0" fillId="0" borderId="8" xfId="0" applyBorder="1"/>
    <xf numFmtId="0" fontId="0" fillId="0" borderId="8" xfId="0" applyBorder="1" applyAlignment="1">
      <alignment horizontal="center"/>
    </xf>
    <xf numFmtId="167" fontId="0" fillId="0" borderId="8" xfId="0" applyNumberFormat="1" applyBorder="1" applyAlignment="1">
      <alignment horizontal="center"/>
    </xf>
    <xf numFmtId="0" fontId="14" fillId="0" borderId="8" xfId="2" applyBorder="1" applyAlignment="1" applyProtection="1"/>
    <xf numFmtId="0" fontId="15" fillId="0" borderId="8" xfId="0" applyFont="1" applyBorder="1" applyAlignment="1">
      <alignment horizontal="center"/>
    </xf>
    <xf numFmtId="1" fontId="15" fillId="0" borderId="8" xfId="0" applyNumberFormat="1" applyFont="1" applyBorder="1" applyAlignment="1">
      <alignment horizontal="center"/>
    </xf>
    <xf numFmtId="0" fontId="4" fillId="0" borderId="20" xfId="1" applyNumberFormat="1" applyFont="1" applyFill="1" applyBorder="1" applyAlignment="1" applyProtection="1">
      <alignment horizontal="center" vertical="center" shrinkToFit="1"/>
    </xf>
    <xf numFmtId="0" fontId="8" fillId="0" borderId="17" xfId="0" applyFont="1" applyBorder="1" applyAlignment="1" applyProtection="1">
      <alignment horizontal="center" vertical="center" shrinkToFit="1"/>
    </xf>
    <xf numFmtId="0" fontId="8" fillId="0" borderId="8" xfId="0" applyFont="1" applyBorder="1" applyAlignment="1" applyProtection="1">
      <alignment horizontal="center" vertical="center" shrinkToFit="1"/>
    </xf>
    <xf numFmtId="0" fontId="21" fillId="0" borderId="0" xfId="0" applyFont="1" applyFill="1" applyBorder="1" applyAlignment="1" applyProtection="1">
      <alignment horizontal="left" vertical="center"/>
      <protection hidden="1"/>
    </xf>
    <xf numFmtId="0" fontId="21" fillId="0" borderId="33" xfId="0" applyFont="1" applyFill="1" applyBorder="1" applyAlignment="1" applyProtection="1">
      <alignment horizontal="left" vertical="center"/>
      <protection hidden="1"/>
    </xf>
    <xf numFmtId="0" fontId="21" fillId="0" borderId="24" xfId="0" applyFont="1" applyFill="1" applyBorder="1" applyAlignment="1" applyProtection="1">
      <alignment horizontal="left" vertical="center"/>
      <protection hidden="1"/>
    </xf>
    <xf numFmtId="0" fontId="21" fillId="0" borderId="36" xfId="0" applyFont="1" applyFill="1" applyBorder="1" applyAlignment="1" applyProtection="1">
      <alignment horizontal="left" vertical="center"/>
      <protection hidden="1"/>
    </xf>
    <xf numFmtId="0" fontId="15" fillId="9" borderId="33" xfId="0" applyFont="1" applyFill="1" applyBorder="1" applyAlignment="1">
      <alignment horizontal="center" vertical="center"/>
    </xf>
    <xf numFmtId="187" fontId="33" fillId="0" borderId="8" xfId="0" applyNumberFormat="1" applyFont="1" applyFill="1" applyBorder="1" applyAlignment="1" applyProtection="1">
      <alignment horizontal="center" vertical="center"/>
    </xf>
    <xf numFmtId="0" fontId="95" fillId="22" borderId="0" xfId="0" applyFont="1" applyFill="1" applyAlignment="1" applyProtection="1">
      <alignment vertical="center"/>
      <protection hidden="1"/>
    </xf>
    <xf numFmtId="0" fontId="0" fillId="0" borderId="0" xfId="0" applyAlignment="1" applyProtection="1">
      <alignment vertical="center"/>
      <protection hidden="1"/>
    </xf>
    <xf numFmtId="0" fontId="52" fillId="22" borderId="0" xfId="0" applyFont="1" applyFill="1" applyAlignment="1" applyProtection="1">
      <alignment horizontal="left" vertical="center"/>
      <protection hidden="1"/>
    </xf>
    <xf numFmtId="0" fontId="97" fillId="22" borderId="0" xfId="0" applyFont="1" applyFill="1" applyAlignment="1" applyProtection="1">
      <alignment vertical="center"/>
      <protection hidden="1"/>
    </xf>
    <xf numFmtId="0" fontId="98" fillId="22" borderId="0" xfId="0" applyFont="1" applyFill="1" applyAlignment="1" applyProtection="1">
      <alignment horizontal="center" vertical="top"/>
      <protection hidden="1"/>
    </xf>
    <xf numFmtId="0" fontId="99" fillId="24" borderId="7" xfId="0" applyFont="1" applyFill="1" applyBorder="1" applyAlignment="1" applyProtection="1">
      <alignment horizontal="center" vertical="center"/>
      <protection locked="0"/>
    </xf>
    <xf numFmtId="0" fontId="15" fillId="0" borderId="26" xfId="0" applyFont="1" applyBorder="1" applyAlignment="1" applyProtection="1">
      <alignment vertical="center"/>
      <protection hidden="1"/>
    </xf>
    <xf numFmtId="0" fontId="99" fillId="24" borderId="9" xfId="0" applyFont="1" applyFill="1" applyBorder="1" applyAlignment="1" applyProtection="1">
      <alignment horizontal="center" vertical="center"/>
      <protection locked="0"/>
    </xf>
    <xf numFmtId="0" fontId="15" fillId="0" borderId="28" xfId="0" applyFont="1" applyBorder="1" applyAlignment="1" applyProtection="1">
      <alignment vertical="center"/>
      <protection hidden="1"/>
    </xf>
    <xf numFmtId="0" fontId="99" fillId="0" borderId="9" xfId="0" applyFont="1" applyBorder="1" applyAlignment="1" applyProtection="1">
      <alignment horizontal="center" vertical="center"/>
      <protection hidden="1"/>
    </xf>
    <xf numFmtId="0" fontId="56" fillId="0" borderId="30" xfId="0" applyFont="1" applyBorder="1" applyAlignment="1" applyProtection="1">
      <alignment vertical="center"/>
      <protection hidden="1"/>
    </xf>
    <xf numFmtId="0" fontId="13" fillId="6" borderId="64" xfId="0" applyFont="1" applyFill="1" applyBorder="1" applyAlignment="1" applyProtection="1">
      <alignment horizontal="center" vertical="center" wrapText="1"/>
      <protection hidden="1"/>
    </xf>
    <xf numFmtId="0" fontId="13" fillId="6" borderId="74" xfId="0" applyFont="1" applyFill="1" applyBorder="1" applyAlignment="1" applyProtection="1">
      <alignment horizontal="center" vertical="center" wrapText="1"/>
      <protection hidden="1"/>
    </xf>
    <xf numFmtId="0" fontId="13" fillId="6" borderId="75" xfId="0" applyFont="1" applyFill="1" applyBorder="1" applyAlignment="1" applyProtection="1">
      <alignment horizontal="center" vertical="center" wrapText="1"/>
      <protection hidden="1"/>
    </xf>
    <xf numFmtId="0" fontId="0" fillId="0" borderId="0" xfId="0" applyAlignment="1" applyProtection="1">
      <alignment vertical="center" wrapText="1"/>
      <protection hidden="1"/>
    </xf>
    <xf numFmtId="0" fontId="21" fillId="25" borderId="27" xfId="0" applyFont="1" applyFill="1" applyBorder="1" applyAlignment="1" applyProtection="1">
      <alignment horizontal="center" vertical="center"/>
      <protection locked="0"/>
    </xf>
    <xf numFmtId="0" fontId="0" fillId="0" borderId="27" xfId="0" applyBorder="1" applyAlignment="1" applyProtection="1">
      <alignment horizontal="center" vertical="center"/>
      <protection hidden="1"/>
    </xf>
    <xf numFmtId="0" fontId="0" fillId="0" borderId="27" xfId="0" applyBorder="1" applyAlignment="1" applyProtection="1">
      <alignment vertical="center"/>
      <protection hidden="1"/>
    </xf>
    <xf numFmtId="0" fontId="0" fillId="0" borderId="7" xfId="0" applyBorder="1" applyAlignment="1" applyProtection="1">
      <alignment vertical="center"/>
      <protection hidden="1"/>
    </xf>
    <xf numFmtId="0" fontId="21" fillId="24" borderId="28" xfId="0" applyFont="1" applyFill="1" applyBorder="1" applyAlignment="1" applyProtection="1">
      <alignment horizontal="center" vertical="center"/>
      <protection locked="0"/>
    </xf>
    <xf numFmtId="0" fontId="21" fillId="25" borderId="8" xfId="0" applyFont="1" applyFill="1" applyBorder="1" applyAlignment="1" applyProtection="1">
      <alignment horizontal="center" vertical="center"/>
      <protection locked="0"/>
    </xf>
    <xf numFmtId="0" fontId="0" fillId="0" borderId="8" xfId="0" applyBorder="1" applyAlignment="1" applyProtection="1">
      <alignment horizontal="center" vertical="center"/>
      <protection hidden="1"/>
    </xf>
    <xf numFmtId="0" fontId="0" fillId="0" borderId="8" xfId="0" applyBorder="1" applyAlignment="1" applyProtection="1">
      <alignment vertical="center"/>
      <protection hidden="1"/>
    </xf>
    <xf numFmtId="0" fontId="0" fillId="0" borderId="9" xfId="0" applyBorder="1" applyAlignment="1" applyProtection="1">
      <alignment vertical="center"/>
      <protection hidden="1"/>
    </xf>
    <xf numFmtId="0" fontId="13" fillId="6" borderId="46" xfId="0" applyFont="1" applyFill="1" applyBorder="1" applyAlignment="1" applyProtection="1">
      <alignment vertical="center"/>
      <protection hidden="1"/>
    </xf>
    <xf numFmtId="0" fontId="21" fillId="25" borderId="8" xfId="0" applyFont="1" applyFill="1" applyBorder="1" applyAlignment="1" applyProtection="1">
      <alignment vertical="center"/>
      <protection locked="0"/>
    </xf>
    <xf numFmtId="0" fontId="21" fillId="24" borderId="30" xfId="0" applyFont="1" applyFill="1" applyBorder="1" applyAlignment="1" applyProtection="1">
      <alignment horizontal="center" vertical="center"/>
      <protection locked="0"/>
    </xf>
    <xf numFmtId="0" fontId="21" fillId="25" borderId="31" xfId="0" applyFont="1" applyFill="1" applyBorder="1" applyAlignment="1" applyProtection="1">
      <alignment vertical="center"/>
      <protection locked="0"/>
    </xf>
    <xf numFmtId="0" fontId="0" fillId="0" borderId="31" xfId="0" applyBorder="1" applyAlignment="1" applyProtection="1">
      <alignment vertical="center"/>
      <protection hidden="1"/>
    </xf>
    <xf numFmtId="0" fontId="0" fillId="0" borderId="34" xfId="0" applyBorder="1" applyAlignment="1" applyProtection="1">
      <alignment vertical="center"/>
      <protection hidden="1"/>
    </xf>
    <xf numFmtId="0" fontId="0" fillId="0" borderId="44" xfId="0" applyBorder="1" applyAlignment="1" applyProtection="1">
      <alignment vertical="center"/>
      <protection hidden="1"/>
    </xf>
    <xf numFmtId="0" fontId="0" fillId="0" borderId="10" xfId="0" applyBorder="1" applyAlignment="1" applyProtection="1">
      <alignment vertical="center"/>
      <protection hidden="1"/>
    </xf>
    <xf numFmtId="0" fontId="0" fillId="0" borderId="37" xfId="0" applyBorder="1" applyAlignment="1" applyProtection="1">
      <alignment vertical="center"/>
      <protection hidden="1"/>
    </xf>
    <xf numFmtId="0" fontId="0" fillId="0" borderId="0" xfId="0" applyBorder="1" applyAlignment="1" applyProtection="1">
      <alignment vertical="center"/>
      <protection hidden="1"/>
    </xf>
    <xf numFmtId="0" fontId="15" fillId="0" borderId="0" xfId="0" applyFont="1" applyBorder="1" applyAlignment="1" applyProtection="1">
      <alignment horizontal="center" vertical="center"/>
      <protection hidden="1"/>
    </xf>
    <xf numFmtId="0" fontId="15" fillId="0" borderId="8" xfId="0" applyFont="1" applyBorder="1" applyAlignment="1" applyProtection="1">
      <alignment horizontal="center" vertical="center" wrapText="1"/>
      <protection hidden="1"/>
    </xf>
    <xf numFmtId="0" fontId="15" fillId="0" borderId="8" xfId="0" applyFont="1" applyBorder="1" applyAlignment="1" applyProtection="1">
      <alignment horizontal="center" vertical="center"/>
      <protection hidden="1"/>
    </xf>
    <xf numFmtId="0" fontId="15" fillId="0" borderId="21" xfId="0" applyFont="1" applyBorder="1" applyAlignment="1" applyProtection="1">
      <alignment horizontal="center" vertical="center" wrapText="1"/>
      <protection hidden="1"/>
    </xf>
    <xf numFmtId="0" fontId="15" fillId="0" borderId="20" xfId="0" applyFont="1" applyBorder="1" applyAlignment="1" applyProtection="1">
      <alignment horizontal="center" vertical="center" wrapText="1"/>
      <protection hidden="1"/>
    </xf>
    <xf numFmtId="0" fontId="0" fillId="0" borderId="33" xfId="0" applyBorder="1" applyAlignment="1" applyProtection="1">
      <alignment horizontal="center" vertical="center"/>
      <protection hidden="1"/>
    </xf>
    <xf numFmtId="0" fontId="0" fillId="0" borderId="33" xfId="0" applyBorder="1" applyAlignment="1" applyProtection="1">
      <alignment vertical="center"/>
      <protection hidden="1"/>
    </xf>
    <xf numFmtId="0" fontId="0" fillId="0" borderId="23" xfId="0" applyBorder="1" applyAlignment="1" applyProtection="1">
      <alignment vertical="center"/>
      <protection hidden="1"/>
    </xf>
    <xf numFmtId="0" fontId="0" fillId="0" borderId="32" xfId="0" applyBorder="1" applyAlignment="1" applyProtection="1">
      <alignment horizontal="center" vertical="center"/>
      <protection hidden="1"/>
    </xf>
    <xf numFmtId="0" fontId="0" fillId="0" borderId="32" xfId="0" applyBorder="1" applyAlignment="1" applyProtection="1">
      <alignment vertical="center"/>
      <protection hidden="1"/>
    </xf>
    <xf numFmtId="0" fontId="0" fillId="0" borderId="38" xfId="0" applyBorder="1" applyAlignment="1" applyProtection="1">
      <alignment vertical="center"/>
      <protection hidden="1"/>
    </xf>
    <xf numFmtId="0" fontId="0" fillId="0" borderId="53" xfId="0" applyBorder="1" applyAlignment="1" applyProtection="1">
      <alignment horizontal="center" vertical="center"/>
      <protection hidden="1"/>
    </xf>
    <xf numFmtId="0" fontId="0" fillId="0" borderId="8" xfId="0" applyBorder="1" applyAlignment="1" applyProtection="1">
      <alignment vertical="center" wrapText="1"/>
      <protection hidden="1"/>
    </xf>
    <xf numFmtId="0" fontId="0" fillId="0" borderId="16" xfId="0" applyBorder="1" applyAlignment="1" applyProtection="1">
      <alignment vertical="center"/>
      <protection hidden="1"/>
    </xf>
    <xf numFmtId="0" fontId="0" fillId="0" borderId="40" xfId="0" applyBorder="1" applyAlignment="1" applyProtection="1">
      <alignment vertical="center"/>
      <protection hidden="1"/>
    </xf>
    <xf numFmtId="0" fontId="43" fillId="0" borderId="0" xfId="0" applyFont="1" applyBorder="1" applyAlignment="1" applyProtection="1">
      <alignment horizontal="right" vertical="center"/>
      <protection hidden="1"/>
    </xf>
    <xf numFmtId="0" fontId="0" fillId="0" borderId="0" xfId="0" applyBorder="1" applyAlignment="1" applyProtection="1">
      <alignment horizontal="right" vertical="center"/>
      <protection hidden="1"/>
    </xf>
    <xf numFmtId="0" fontId="15" fillId="3" borderId="8" xfId="0" applyFont="1" applyFill="1" applyBorder="1" applyAlignment="1" applyProtection="1">
      <alignment horizontal="center" vertical="center"/>
      <protection hidden="1"/>
    </xf>
    <xf numFmtId="0" fontId="15" fillId="0" borderId="0" xfId="0" applyFont="1" applyFill="1" applyBorder="1" applyAlignment="1" applyProtection="1">
      <alignment horizontal="center" vertical="center"/>
      <protection hidden="1"/>
    </xf>
    <xf numFmtId="0" fontId="0" fillId="3" borderId="8" xfId="0" applyFont="1" applyFill="1" applyBorder="1" applyAlignment="1" applyProtection="1">
      <alignment horizontal="center" vertical="center"/>
      <protection hidden="1"/>
    </xf>
    <xf numFmtId="0" fontId="0" fillId="0" borderId="0" xfId="0" applyFill="1" applyBorder="1" applyAlignment="1" applyProtection="1">
      <alignment vertical="center"/>
      <protection hidden="1"/>
    </xf>
    <xf numFmtId="0" fontId="43" fillId="3" borderId="8" xfId="0" applyFont="1" applyFill="1" applyBorder="1" applyAlignment="1" applyProtection="1">
      <alignment horizontal="center" vertical="center"/>
      <protection hidden="1"/>
    </xf>
    <xf numFmtId="0" fontId="0" fillId="0" borderId="0" xfId="0" applyFont="1" applyFill="1" applyBorder="1" applyAlignment="1" applyProtection="1">
      <alignment vertical="center"/>
      <protection hidden="1"/>
    </xf>
    <xf numFmtId="0" fontId="0" fillId="0" borderId="0" xfId="0" applyFont="1" applyBorder="1" applyAlignment="1" applyProtection="1">
      <alignment vertical="center"/>
      <protection hidden="1"/>
    </xf>
    <xf numFmtId="0" fontId="0" fillId="3" borderId="8" xfId="0" applyFill="1" applyBorder="1" applyAlignment="1" applyProtection="1">
      <alignment horizontal="center" vertical="center"/>
      <protection hidden="1"/>
    </xf>
    <xf numFmtId="0" fontId="0" fillId="0" borderId="63" xfId="0" applyBorder="1" applyAlignment="1" applyProtection="1">
      <alignment horizontal="center" vertical="center" wrapText="1"/>
      <protection hidden="1"/>
    </xf>
    <xf numFmtId="0" fontId="15" fillId="0" borderId="76" xfId="0" applyFont="1" applyBorder="1" applyAlignment="1" applyProtection="1">
      <alignment horizontal="center" vertical="center" wrapText="1"/>
      <protection hidden="1"/>
    </xf>
    <xf numFmtId="0" fontId="15" fillId="0" borderId="64" xfId="0" applyFont="1" applyBorder="1" applyAlignment="1" applyProtection="1">
      <alignment horizontal="center" vertical="center" wrapText="1"/>
      <protection hidden="1"/>
    </xf>
    <xf numFmtId="0" fontId="15" fillId="0" borderId="65" xfId="0" applyFont="1" applyBorder="1" applyAlignment="1" applyProtection="1">
      <alignment horizontal="center" vertical="center" wrapText="1"/>
      <protection hidden="1"/>
    </xf>
    <xf numFmtId="0" fontId="0" fillId="0" borderId="12" xfId="0" applyBorder="1" applyAlignment="1" applyProtection="1">
      <alignment horizontal="center" vertical="center" wrapText="1"/>
      <protection hidden="1"/>
    </xf>
    <xf numFmtId="0" fontId="0" fillId="0" borderId="12" xfId="0" applyBorder="1" applyAlignment="1" applyProtection="1">
      <alignment horizontal="center" vertical="center"/>
      <protection hidden="1"/>
    </xf>
    <xf numFmtId="0" fontId="0" fillId="0" borderId="1" xfId="0" applyBorder="1" applyAlignment="1" applyProtection="1">
      <alignment horizontal="center" vertical="center" wrapText="1"/>
      <protection hidden="1"/>
    </xf>
    <xf numFmtId="0" fontId="0" fillId="0" borderId="1" xfId="0" applyBorder="1" applyAlignment="1" applyProtection="1">
      <alignment horizontal="center" vertical="center"/>
      <protection hidden="1"/>
    </xf>
    <xf numFmtId="0" fontId="0" fillId="0" borderId="26" xfId="0" applyBorder="1" applyAlignment="1" applyProtection="1">
      <alignment horizontal="center" vertical="center"/>
      <protection hidden="1"/>
    </xf>
    <xf numFmtId="0" fontId="0" fillId="0" borderId="7" xfId="0"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77" xfId="0" applyBorder="1" applyAlignment="1" applyProtection="1">
      <alignment horizontal="center" vertical="center"/>
      <protection hidden="1"/>
    </xf>
    <xf numFmtId="0" fontId="43" fillId="0" borderId="38" xfId="0" applyFont="1" applyBorder="1" applyAlignment="1" applyProtection="1">
      <alignment horizontal="center" vertical="center"/>
      <protection hidden="1"/>
    </xf>
    <xf numFmtId="0" fontId="0" fillId="10" borderId="53" xfId="0" applyFill="1" applyBorder="1" applyAlignment="1" applyProtection="1">
      <alignment horizontal="center" vertical="center"/>
      <protection hidden="1"/>
    </xf>
    <xf numFmtId="0" fontId="0" fillId="0" borderId="28" xfId="0"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28" xfId="0" applyFill="1" applyBorder="1" applyAlignment="1" applyProtection="1">
      <alignment horizontal="center" vertical="center"/>
      <protection hidden="1"/>
    </xf>
    <xf numFmtId="0" fontId="0" fillId="0" borderId="9" xfId="0" applyFill="1" applyBorder="1" applyAlignment="1" applyProtection="1">
      <alignment horizontal="center" vertical="center"/>
      <protection hidden="1"/>
    </xf>
    <xf numFmtId="0" fontId="0" fillId="0" borderId="30" xfId="0" applyBorder="1" applyAlignment="1" applyProtection="1">
      <alignment horizontal="center" vertical="center"/>
      <protection hidden="1"/>
    </xf>
    <xf numFmtId="0" fontId="0" fillId="0" borderId="34" xfId="0" applyBorder="1" applyAlignment="1" applyProtection="1">
      <alignment horizontal="center" vertical="center"/>
      <protection hidden="1"/>
    </xf>
    <xf numFmtId="0" fontId="0" fillId="0" borderId="38" xfId="0" applyBorder="1" applyAlignment="1" applyProtection="1">
      <alignment horizontal="center" vertical="center"/>
      <protection hidden="1"/>
    </xf>
    <xf numFmtId="0" fontId="0" fillId="0" borderId="53" xfId="0" applyFill="1" applyBorder="1" applyAlignment="1" applyProtection="1">
      <alignment horizontal="center" vertical="center"/>
      <protection hidden="1"/>
    </xf>
    <xf numFmtId="0" fontId="0" fillId="0" borderId="78" xfId="0" applyBorder="1" applyAlignment="1" applyProtection="1">
      <alignment horizontal="center" vertical="center"/>
      <protection hidden="1"/>
    </xf>
    <xf numFmtId="0" fontId="0" fillId="0" borderId="59" xfId="0" applyBorder="1" applyAlignment="1" applyProtection="1">
      <alignment horizontal="center" vertical="center"/>
      <protection hidden="1"/>
    </xf>
    <xf numFmtId="0" fontId="43" fillId="0" borderId="59" xfId="0" applyFont="1" applyBorder="1" applyAlignment="1" applyProtection="1">
      <alignment horizontal="center" vertical="center"/>
      <protection hidden="1"/>
    </xf>
    <xf numFmtId="0" fontId="0" fillId="10" borderId="74" xfId="0" applyFill="1" applyBorder="1" applyAlignment="1" applyProtection="1">
      <alignment horizontal="center" vertical="center"/>
      <protection hidden="1"/>
    </xf>
    <xf numFmtId="0" fontId="0" fillId="0" borderId="74" xfId="0" applyBorder="1" applyAlignment="1" applyProtection="1">
      <alignment horizontal="center" vertical="center"/>
      <protection hidden="1"/>
    </xf>
    <xf numFmtId="0" fontId="0" fillId="0" borderId="30" xfId="0" applyFill="1" applyBorder="1" applyAlignment="1" applyProtection="1">
      <alignment horizontal="center" vertical="center"/>
      <protection hidden="1"/>
    </xf>
    <xf numFmtId="0" fontId="0" fillId="0" borderId="34" xfId="0" applyFill="1" applyBorder="1" applyAlignment="1" applyProtection="1">
      <alignment horizontal="center" vertical="center"/>
      <protection hidden="1"/>
    </xf>
    <xf numFmtId="0" fontId="0" fillId="0" borderId="0" xfId="0" applyFill="1" applyBorder="1" applyAlignment="1" applyProtection="1">
      <alignment horizontal="center" vertical="center"/>
      <protection hidden="1"/>
    </xf>
    <xf numFmtId="0" fontId="15" fillId="0" borderId="63" xfId="0" applyFont="1" applyBorder="1" applyAlignment="1" applyProtection="1">
      <alignment horizontal="center" vertical="center" wrapText="1"/>
      <protection hidden="1"/>
    </xf>
    <xf numFmtId="0" fontId="0" fillId="0" borderId="6" xfId="0" applyBorder="1" applyAlignment="1" applyProtection="1">
      <alignment vertical="center"/>
      <protection hidden="1"/>
    </xf>
    <xf numFmtId="0" fontId="0" fillId="0" borderId="17" xfId="0" applyBorder="1" applyAlignment="1" applyProtection="1">
      <alignment vertical="center"/>
      <protection hidden="1"/>
    </xf>
    <xf numFmtId="0" fontId="15" fillId="3" borderId="17" xfId="0" applyFont="1" applyFill="1" applyBorder="1" applyAlignment="1" applyProtection="1">
      <alignment horizontal="center" vertical="center"/>
      <protection hidden="1"/>
    </xf>
    <xf numFmtId="0" fontId="0" fillId="0" borderId="19" xfId="0" applyBorder="1" applyAlignment="1" applyProtection="1">
      <alignment vertical="center"/>
      <protection hidden="1"/>
    </xf>
    <xf numFmtId="0" fontId="0" fillId="0" borderId="28" xfId="0" applyBorder="1" applyAlignment="1" applyProtection="1">
      <alignment vertical="center"/>
      <protection hidden="1"/>
    </xf>
    <xf numFmtId="0" fontId="0" fillId="0" borderId="30" xfId="0" applyBorder="1" applyAlignment="1" applyProtection="1">
      <alignment vertical="center"/>
      <protection hidden="1"/>
    </xf>
    <xf numFmtId="0" fontId="15" fillId="3" borderId="18" xfId="0" applyFont="1" applyFill="1" applyBorder="1" applyAlignment="1" applyProtection="1">
      <alignment horizontal="center" vertical="center"/>
      <protection hidden="1"/>
    </xf>
    <xf numFmtId="0" fontId="0" fillId="0" borderId="18" xfId="0" applyBorder="1" applyAlignment="1" applyProtection="1">
      <alignment vertical="center"/>
      <protection hidden="1"/>
    </xf>
    <xf numFmtId="0" fontId="0" fillId="0" borderId="35" xfId="0" applyBorder="1" applyAlignment="1" applyProtection="1">
      <alignment vertical="center"/>
      <protection hidden="1"/>
    </xf>
    <xf numFmtId="0" fontId="15" fillId="0" borderId="63" xfId="0" applyFont="1" applyBorder="1" applyAlignment="1" applyProtection="1">
      <alignment vertical="center"/>
      <protection hidden="1"/>
    </xf>
    <xf numFmtId="0" fontId="15" fillId="0" borderId="64" xfId="0" applyFont="1" applyBorder="1" applyAlignment="1" applyProtection="1">
      <alignment vertical="center"/>
      <protection hidden="1"/>
    </xf>
    <xf numFmtId="0" fontId="15" fillId="0" borderId="65" xfId="0" applyFont="1" applyBorder="1" applyAlignment="1" applyProtection="1">
      <alignment vertical="center"/>
      <protection hidden="1"/>
    </xf>
    <xf numFmtId="0" fontId="15" fillId="0" borderId="8" xfId="0" applyFont="1" applyBorder="1" applyAlignment="1">
      <alignment vertical="center" wrapText="1"/>
    </xf>
    <xf numFmtId="0" fontId="0" fillId="0" borderId="8" xfId="0" applyFill="1" applyBorder="1" applyAlignment="1">
      <alignment horizontal="center"/>
    </xf>
    <xf numFmtId="0" fontId="0" fillId="0" borderId="8" xfId="0" applyFill="1" applyBorder="1"/>
    <xf numFmtId="0" fontId="14" fillId="0" borderId="8" xfId="2" applyFill="1" applyBorder="1" applyAlignment="1" applyProtection="1"/>
    <xf numFmtId="166" fontId="31" fillId="0" borderId="42" xfId="0" applyNumberFormat="1" applyFont="1" applyBorder="1" applyAlignment="1">
      <alignment vertical="center"/>
    </xf>
    <xf numFmtId="0" fontId="30" fillId="0" borderId="79" xfId="0" applyFont="1" applyBorder="1" applyAlignment="1">
      <alignment horizontal="center" vertical="center"/>
    </xf>
    <xf numFmtId="0" fontId="61" fillId="0" borderId="0" xfId="0" applyFont="1" applyFill="1" applyBorder="1" applyAlignment="1">
      <alignment horizontal="center" vertical="center"/>
    </xf>
    <xf numFmtId="0" fontId="61" fillId="0" borderId="2" xfId="0" applyFont="1" applyFill="1" applyBorder="1" applyAlignment="1">
      <alignment vertical="center"/>
    </xf>
    <xf numFmtId="0" fontId="14" fillId="0" borderId="0" xfId="2" applyAlignment="1" applyProtection="1">
      <alignment vertical="center"/>
    </xf>
    <xf numFmtId="0" fontId="90" fillId="17" borderId="0" xfId="0" applyFont="1" applyFill="1" applyAlignment="1">
      <alignment vertical="center" wrapText="1"/>
    </xf>
    <xf numFmtId="0" fontId="38" fillId="17" borderId="0" xfId="0" applyFont="1" applyFill="1" applyBorder="1" applyAlignment="1">
      <alignment vertical="center"/>
    </xf>
    <xf numFmtId="4" fontId="32" fillId="3" borderId="8" xfId="0" applyNumberFormat="1" applyFont="1" applyFill="1" applyBorder="1" applyAlignment="1" applyProtection="1">
      <alignment vertical="center"/>
      <protection locked="0"/>
    </xf>
    <xf numFmtId="0" fontId="77" fillId="0" borderId="0" xfId="0" applyFont="1" applyBorder="1" applyAlignment="1" applyProtection="1">
      <alignment horizontal="left" wrapText="1"/>
    </xf>
    <xf numFmtId="0" fontId="16" fillId="11" borderId="33" xfId="0" applyFont="1" applyFill="1" applyBorder="1" applyAlignment="1" applyProtection="1">
      <alignment horizontal="center" vertical="center"/>
      <protection hidden="1"/>
    </xf>
    <xf numFmtId="0" fontId="16" fillId="11" borderId="25" xfId="0" applyFont="1" applyFill="1" applyBorder="1" applyAlignment="1" applyProtection="1">
      <alignment horizontal="center" vertical="center"/>
      <protection hidden="1"/>
    </xf>
    <xf numFmtId="0" fontId="16" fillId="11" borderId="23" xfId="0" applyFont="1" applyFill="1" applyBorder="1" applyAlignment="1" applyProtection="1">
      <alignment horizontal="center" vertical="center"/>
      <protection hidden="1"/>
    </xf>
    <xf numFmtId="0" fontId="0" fillId="0" borderId="0" xfId="0" applyAlignment="1">
      <alignment horizontal="center"/>
    </xf>
    <xf numFmtId="0" fontId="0" fillId="0" borderId="8" xfId="0" applyBorder="1" applyAlignment="1">
      <alignment vertical="center"/>
    </xf>
    <xf numFmtId="43" fontId="61" fillId="0" borderId="16" xfId="1" applyFont="1" applyFill="1" applyBorder="1" applyAlignment="1" applyProtection="1">
      <alignment vertical="center"/>
    </xf>
    <xf numFmtId="43" fontId="61" fillId="0" borderId="40" xfId="1" applyFont="1" applyFill="1" applyBorder="1" applyAlignment="1" applyProtection="1">
      <alignment vertical="center"/>
    </xf>
    <xf numFmtId="167" fontId="15" fillId="0" borderId="8" xfId="0" applyNumberFormat="1" applyFont="1" applyBorder="1" applyAlignment="1">
      <alignment horizontal="center"/>
    </xf>
    <xf numFmtId="167" fontId="0" fillId="0" borderId="0" xfId="0" applyNumberFormat="1" applyAlignment="1">
      <alignment horizontal="center"/>
    </xf>
    <xf numFmtId="0" fontId="0" fillId="0" borderId="8" xfId="0" applyBorder="1" applyAlignment="1">
      <alignment horizontal="center" vertical="center"/>
    </xf>
    <xf numFmtId="167" fontId="0" fillId="0" borderId="8" xfId="0" applyNumberFormat="1" applyBorder="1" applyAlignment="1">
      <alignment horizontal="center" vertical="center"/>
    </xf>
    <xf numFmtId="167" fontId="0" fillId="0" borderId="8" xfId="0" applyNumberFormat="1" applyFill="1" applyBorder="1" applyAlignment="1">
      <alignment horizontal="center"/>
    </xf>
    <xf numFmtId="1" fontId="0" fillId="0" borderId="8" xfId="0" applyNumberFormat="1" applyBorder="1" applyAlignment="1">
      <alignment horizontal="center"/>
    </xf>
    <xf numFmtId="1" fontId="0" fillId="0" borderId="0" xfId="0" applyNumberFormat="1" applyAlignment="1">
      <alignment horizontal="center"/>
    </xf>
    <xf numFmtId="1" fontId="0" fillId="0" borderId="8" xfId="0" quotePrefix="1" applyNumberFormat="1" applyBorder="1" applyAlignment="1">
      <alignment horizontal="center"/>
    </xf>
    <xf numFmtId="1" fontId="0" fillId="0" borderId="8" xfId="0" applyNumberFormat="1" applyBorder="1" applyAlignment="1">
      <alignment horizontal="center" vertical="center"/>
    </xf>
    <xf numFmtId="167" fontId="4" fillId="0" borderId="8" xfId="1" applyNumberFormat="1" applyFont="1" applyFill="1" applyBorder="1" applyAlignment="1" applyProtection="1">
      <alignment vertical="center" shrinkToFit="1"/>
      <protection hidden="1"/>
    </xf>
    <xf numFmtId="0" fontId="104" fillId="0" borderId="0" xfId="0" applyFont="1" applyFill="1" applyBorder="1" applyAlignment="1" applyProtection="1">
      <alignment horizontal="left" vertical="center"/>
      <protection hidden="1"/>
    </xf>
    <xf numFmtId="0" fontId="106" fillId="0" borderId="0" xfId="0" applyFont="1" applyProtection="1"/>
    <xf numFmtId="43" fontId="107" fillId="4" borderId="33" xfId="1" applyFont="1" applyFill="1" applyBorder="1" applyAlignment="1" applyProtection="1">
      <alignment horizontal="left" vertical="center"/>
    </xf>
    <xf numFmtId="0" fontId="56" fillId="7" borderId="8" xfId="0" applyFont="1" applyFill="1" applyBorder="1" applyAlignment="1" applyProtection="1">
      <alignment horizontal="center" vertical="center" wrapText="1"/>
    </xf>
    <xf numFmtId="0" fontId="101" fillId="5" borderId="0" xfId="0" applyFont="1" applyFill="1" applyAlignment="1" applyProtection="1">
      <alignment horizontal="left" vertical="center"/>
      <protection hidden="1"/>
    </xf>
    <xf numFmtId="0" fontId="0" fillId="5" borderId="0" xfId="0" applyFill="1" applyAlignment="1" applyProtection="1">
      <alignment vertical="top"/>
      <protection hidden="1"/>
    </xf>
    <xf numFmtId="0" fontId="0" fillId="5" borderId="39" xfId="0" applyFill="1" applyBorder="1" applyAlignment="1" applyProtection="1">
      <alignment vertical="top"/>
      <protection hidden="1"/>
    </xf>
    <xf numFmtId="0" fontId="15" fillId="5" borderId="0" xfId="0" applyFont="1" applyFill="1" applyAlignment="1" applyProtection="1">
      <alignment horizontal="right" vertical="top"/>
      <protection hidden="1"/>
    </xf>
    <xf numFmtId="0" fontId="15" fillId="5" borderId="0" xfId="0" applyFont="1" applyFill="1" applyAlignment="1" applyProtection="1">
      <alignment vertical="top"/>
      <protection hidden="1"/>
    </xf>
    <xf numFmtId="0" fontId="0" fillId="5" borderId="0" xfId="0" applyFill="1" applyAlignment="1" applyProtection="1">
      <alignment horizontal="right" vertical="top"/>
      <protection hidden="1"/>
    </xf>
    <xf numFmtId="4" fontId="29" fillId="0" borderId="8" xfId="0" applyNumberFormat="1" applyFont="1" applyFill="1" applyBorder="1" applyAlignment="1" applyProtection="1">
      <alignment vertical="center"/>
      <protection hidden="1"/>
    </xf>
    <xf numFmtId="2" fontId="0" fillId="5" borderId="0" xfId="0" applyNumberFormat="1" applyFill="1" applyAlignment="1" applyProtection="1">
      <alignment vertical="top"/>
      <protection hidden="1"/>
    </xf>
    <xf numFmtId="0" fontId="56" fillId="5" borderId="0" xfId="0" applyFont="1" applyFill="1" applyBorder="1" applyAlignment="1" applyProtection="1">
      <alignment horizontal="center" vertical="center"/>
      <protection hidden="1"/>
    </xf>
    <xf numFmtId="0" fontId="0" fillId="5" borderId="0" xfId="0" applyFill="1" applyBorder="1" applyAlignment="1" applyProtection="1">
      <alignment vertical="top"/>
      <protection hidden="1"/>
    </xf>
    <xf numFmtId="186" fontId="0" fillId="5" borderId="0" xfId="0" applyNumberFormat="1" applyFill="1" applyAlignment="1" applyProtection="1">
      <alignment vertical="top"/>
      <protection hidden="1"/>
    </xf>
    <xf numFmtId="0" fontId="108" fillId="0" borderId="22" xfId="0" applyFont="1" applyFill="1" applyBorder="1" applyAlignment="1" applyProtection="1">
      <alignment vertical="center"/>
    </xf>
    <xf numFmtId="0" fontId="60" fillId="0" borderId="0" xfId="0" applyFont="1" applyFill="1" applyBorder="1" applyAlignment="1" applyProtection="1">
      <alignment horizontal="left" vertical="center"/>
      <protection hidden="1"/>
    </xf>
    <xf numFmtId="167" fontId="15" fillId="5" borderId="0" xfId="0" applyNumberFormat="1" applyFont="1" applyFill="1" applyAlignment="1" applyProtection="1">
      <alignment horizontal="left" vertical="top"/>
      <protection hidden="1"/>
    </xf>
    <xf numFmtId="167" fontId="15" fillId="5" borderId="39" xfId="0" applyNumberFormat="1" applyFont="1" applyFill="1" applyBorder="1" applyAlignment="1" applyProtection="1">
      <alignment horizontal="right" vertical="top"/>
      <protection hidden="1"/>
    </xf>
    <xf numFmtId="0" fontId="61" fillId="0" borderId="8" xfId="0" applyFont="1" applyFill="1" applyBorder="1" applyAlignment="1" applyProtection="1">
      <alignment horizontal="center" vertical="center" wrapText="1"/>
      <protection hidden="1"/>
    </xf>
    <xf numFmtId="2" fontId="31" fillId="0" borderId="8" xfId="0" applyNumberFormat="1" applyFont="1" applyFill="1" applyBorder="1" applyAlignment="1" applyProtection="1">
      <alignment horizontal="right" vertical="center"/>
      <protection hidden="1"/>
    </xf>
    <xf numFmtId="2" fontId="31" fillId="0" borderId="0" xfId="0" applyNumberFormat="1" applyFont="1" applyFill="1" applyBorder="1" applyAlignment="1" applyProtection="1">
      <alignment horizontal="right" vertical="center"/>
      <protection hidden="1"/>
    </xf>
    <xf numFmtId="0" fontId="0" fillId="0" borderId="0" xfId="0" applyFill="1" applyAlignment="1" applyProtection="1">
      <alignment vertical="top"/>
      <protection hidden="1"/>
    </xf>
    <xf numFmtId="0" fontId="91" fillId="5" borderId="0" xfId="0" applyFont="1" applyFill="1" applyAlignment="1" applyProtection="1">
      <alignment vertical="top"/>
      <protection hidden="1"/>
    </xf>
    <xf numFmtId="0" fontId="91" fillId="5" borderId="0" xfId="0" applyFont="1" applyFill="1" applyBorder="1" applyAlignment="1" applyProtection="1">
      <alignment vertical="top"/>
      <protection hidden="1"/>
    </xf>
    <xf numFmtId="0" fontId="43" fillId="0" borderId="3" xfId="0" applyFont="1" applyBorder="1" applyAlignment="1" applyProtection="1">
      <alignment horizontal="center" vertical="center"/>
      <protection hidden="1"/>
    </xf>
    <xf numFmtId="0" fontId="56" fillId="0" borderId="0" xfId="0" applyFont="1" applyBorder="1" applyAlignment="1" applyProtection="1">
      <alignment horizontal="center" vertical="center"/>
      <protection hidden="1"/>
    </xf>
    <xf numFmtId="0" fontId="62" fillId="4" borderId="3" xfId="0" applyFont="1" applyFill="1" applyBorder="1" applyAlignment="1" applyProtection="1">
      <alignment horizontal="center" vertical="center"/>
      <protection hidden="1"/>
    </xf>
    <xf numFmtId="186" fontId="62" fillId="4" borderId="79" xfId="0" applyNumberFormat="1" applyFont="1" applyFill="1" applyBorder="1" applyAlignment="1" applyProtection="1">
      <alignment vertical="center"/>
      <protection hidden="1"/>
    </xf>
    <xf numFmtId="0" fontId="43" fillId="0" borderId="44" xfId="0" applyFont="1" applyBorder="1" applyAlignment="1" applyProtection="1">
      <alignment horizontal="center" vertical="center"/>
      <protection hidden="1"/>
    </xf>
    <xf numFmtId="0" fontId="56" fillId="0" borderId="10" xfId="0" applyFont="1" applyBorder="1" applyAlignment="1" applyProtection="1">
      <alignment horizontal="center" vertical="center"/>
      <protection hidden="1"/>
    </xf>
    <xf numFmtId="0" fontId="43" fillId="0" borderId="10" xfId="0" applyFont="1" applyBorder="1" applyAlignment="1" applyProtection="1">
      <alignment horizontal="center" vertical="center"/>
      <protection hidden="1"/>
    </xf>
    <xf numFmtId="186" fontId="34" fillId="5" borderId="12" xfId="0" applyNumberFormat="1" applyFont="1" applyFill="1" applyBorder="1" applyAlignment="1" applyProtection="1">
      <alignment vertical="center"/>
      <protection hidden="1"/>
    </xf>
    <xf numFmtId="0" fontId="71" fillId="0" borderId="0" xfId="0" applyFont="1" applyFill="1" applyBorder="1" applyAlignment="1" applyProtection="1">
      <alignment vertical="center"/>
      <protection hidden="1"/>
    </xf>
    <xf numFmtId="0" fontId="43" fillId="0" borderId="11" xfId="0" applyFont="1" applyBorder="1" applyAlignment="1" applyProtection="1">
      <alignment horizontal="left" vertical="center" wrapText="1"/>
      <protection hidden="1"/>
    </xf>
    <xf numFmtId="0" fontId="43" fillId="0" borderId="13" xfId="0" applyFont="1" applyBorder="1" applyAlignment="1" applyProtection="1">
      <alignment horizontal="left" vertical="center" wrapText="1"/>
      <protection hidden="1"/>
    </xf>
    <xf numFmtId="0" fontId="43" fillId="0" borderId="24" xfId="0" applyFont="1" applyBorder="1" applyAlignment="1" applyProtection="1">
      <alignment horizontal="left" vertical="center" wrapText="1"/>
      <protection hidden="1"/>
    </xf>
    <xf numFmtId="0" fontId="43" fillId="0" borderId="0" xfId="0" applyFont="1" applyBorder="1" applyAlignment="1" applyProtection="1">
      <alignment horizontal="left" vertical="center" wrapText="1"/>
      <protection hidden="1"/>
    </xf>
    <xf numFmtId="0" fontId="62" fillId="4" borderId="24" xfId="0" applyFont="1" applyFill="1" applyBorder="1" applyAlignment="1" applyProtection="1">
      <alignment horizontal="center" vertical="center" wrapText="1"/>
      <protection hidden="1"/>
    </xf>
    <xf numFmtId="0" fontId="62" fillId="4" borderId="0" xfId="0" applyFont="1" applyFill="1" applyBorder="1" applyAlignment="1" applyProtection="1">
      <alignment horizontal="center" vertical="center" wrapText="1"/>
      <protection hidden="1"/>
    </xf>
    <xf numFmtId="0" fontId="43" fillId="0" borderId="36" xfId="0" applyFont="1" applyBorder="1" applyAlignment="1" applyProtection="1">
      <alignment horizontal="left" vertical="center" wrapText="1"/>
      <protection hidden="1"/>
    </xf>
    <xf numFmtId="0" fontId="43" fillId="0" borderId="10" xfId="0" applyFont="1" applyBorder="1" applyAlignment="1" applyProtection="1">
      <alignment horizontal="left" vertical="center" wrapText="1"/>
      <protection hidden="1"/>
    </xf>
    <xf numFmtId="1" fontId="71" fillId="5" borderId="0" xfId="0" applyNumberFormat="1" applyFont="1" applyFill="1" applyBorder="1" applyAlignment="1" applyProtection="1">
      <alignment vertical="center"/>
      <protection hidden="1"/>
    </xf>
    <xf numFmtId="186" fontId="62" fillId="5" borderId="0" xfId="0" applyNumberFormat="1" applyFont="1" applyFill="1" applyBorder="1" applyAlignment="1" applyProtection="1">
      <alignment vertical="center"/>
      <protection hidden="1"/>
    </xf>
    <xf numFmtId="174" fontId="71" fillId="5" borderId="0" xfId="0" applyNumberFormat="1" applyFont="1" applyFill="1" applyBorder="1" applyAlignment="1" applyProtection="1">
      <alignment vertical="center"/>
      <protection hidden="1"/>
    </xf>
    <xf numFmtId="186" fontId="71" fillId="5" borderId="0" xfId="0" applyNumberFormat="1" applyFont="1" applyFill="1" applyBorder="1" applyAlignment="1" applyProtection="1">
      <alignment vertical="center"/>
      <protection hidden="1"/>
    </xf>
    <xf numFmtId="0" fontId="18" fillId="5" borderId="0" xfId="0" applyFont="1" applyFill="1" applyBorder="1" applyAlignment="1" applyProtection="1">
      <alignment horizontal="center" vertical="top"/>
      <protection hidden="1"/>
    </xf>
    <xf numFmtId="0" fontId="55" fillId="5" borderId="0" xfId="0" applyFont="1" applyFill="1" applyBorder="1" applyAlignment="1" applyProtection="1">
      <alignment vertical="center"/>
      <protection hidden="1"/>
    </xf>
    <xf numFmtId="0" fontId="55" fillId="0" borderId="8" xfId="0" applyFont="1" applyFill="1" applyBorder="1" applyAlignment="1" applyProtection="1">
      <alignment vertical="center"/>
      <protection hidden="1"/>
    </xf>
    <xf numFmtId="0" fontId="20" fillId="0" borderId="8" xfId="0" applyFont="1" applyFill="1" applyBorder="1" applyAlignment="1" applyProtection="1">
      <alignment vertical="center"/>
      <protection hidden="1"/>
    </xf>
    <xf numFmtId="0" fontId="61" fillId="0" borderId="8" xfId="0" applyFont="1" applyFill="1" applyBorder="1" applyAlignment="1" applyProtection="1">
      <alignment horizontal="center" vertical="center"/>
      <protection hidden="1"/>
    </xf>
    <xf numFmtId="0" fontId="87" fillId="0" borderId="8" xfId="0" applyFont="1" applyFill="1" applyBorder="1" applyAlignment="1" applyProtection="1">
      <alignment horizontal="center" vertical="center" wrapText="1"/>
      <protection hidden="1"/>
    </xf>
    <xf numFmtId="0" fontId="43" fillId="0" borderId="8" xfId="0" applyFont="1" applyFill="1" applyBorder="1" applyAlignment="1" applyProtection="1">
      <alignment horizontal="center" vertical="center"/>
      <protection hidden="1"/>
    </xf>
    <xf numFmtId="0" fontId="56" fillId="0" borderId="8" xfId="0" applyFont="1" applyFill="1" applyBorder="1" applyAlignment="1" applyProtection="1">
      <alignment horizontal="left" vertical="top" wrapText="1"/>
      <protection hidden="1"/>
    </xf>
    <xf numFmtId="0" fontId="56" fillId="0" borderId="8" xfId="0" applyFont="1" applyFill="1" applyBorder="1" applyAlignment="1" applyProtection="1">
      <alignment horizontal="center" vertical="center" wrapText="1"/>
      <protection hidden="1"/>
    </xf>
    <xf numFmtId="2" fontId="43" fillId="0" borderId="8" xfId="0" applyNumberFormat="1" applyFont="1" applyFill="1" applyBorder="1" applyAlignment="1" applyProtection="1">
      <alignment horizontal="center" vertical="center"/>
      <protection hidden="1"/>
    </xf>
    <xf numFmtId="0" fontId="56" fillId="0" borderId="8" xfId="0" applyFont="1" applyFill="1" applyBorder="1" applyAlignment="1" applyProtection="1">
      <alignment horizontal="center" vertical="center"/>
      <protection hidden="1"/>
    </xf>
    <xf numFmtId="0" fontId="56" fillId="0" borderId="0" xfId="0" applyFont="1" applyFill="1" applyBorder="1" applyAlignment="1" applyProtection="1">
      <alignment horizontal="left" vertical="top" wrapText="1"/>
      <protection hidden="1"/>
    </xf>
    <xf numFmtId="0" fontId="56" fillId="0" borderId="0" xfId="0" applyFont="1" applyFill="1" applyBorder="1" applyAlignment="1" applyProtection="1">
      <alignment horizontal="center" vertical="center"/>
      <protection hidden="1"/>
    </xf>
    <xf numFmtId="2" fontId="43" fillId="0" borderId="0" xfId="0" applyNumberFormat="1" applyFont="1" applyFill="1" applyBorder="1" applyAlignment="1" applyProtection="1">
      <alignment horizontal="center" vertical="center"/>
      <protection hidden="1"/>
    </xf>
    <xf numFmtId="0" fontId="31" fillId="0" borderId="8" xfId="0" applyFont="1" applyFill="1" applyBorder="1" applyAlignment="1" applyProtection="1">
      <alignment vertical="center" wrapText="1"/>
      <protection hidden="1"/>
    </xf>
    <xf numFmtId="0" fontId="43" fillId="0" borderId="0" xfId="0" applyFont="1" applyFill="1" applyAlignment="1" applyProtection="1">
      <alignment horizontal="center" vertical="center"/>
      <protection hidden="1"/>
    </xf>
    <xf numFmtId="0" fontId="61" fillId="0" borderId="8" xfId="0" applyFont="1" applyFill="1" applyBorder="1" applyAlignment="1" applyProtection="1">
      <alignment horizontal="left" vertical="center"/>
      <protection hidden="1"/>
    </xf>
    <xf numFmtId="0" fontId="61" fillId="0" borderId="8" xfId="0" applyFont="1" applyFill="1" applyBorder="1" applyAlignment="1" applyProtection="1">
      <alignment vertical="center" wrapText="1"/>
      <protection hidden="1"/>
    </xf>
    <xf numFmtId="0" fontId="43" fillId="0" borderId="8" xfId="0" applyNumberFormat="1" applyFont="1" applyFill="1" applyBorder="1" applyAlignment="1" applyProtection="1">
      <alignment horizontal="left" vertical="center"/>
      <protection hidden="1"/>
    </xf>
    <xf numFmtId="2" fontId="43" fillId="0" borderId="21" xfId="0" applyNumberFormat="1" applyFont="1" applyFill="1" applyBorder="1" applyAlignment="1" applyProtection="1">
      <alignment horizontal="left" wrapText="1"/>
      <protection hidden="1"/>
    </xf>
    <xf numFmtId="2" fontId="73" fillId="0" borderId="8" xfId="3" applyNumberFormat="1" applyFont="1" applyFill="1" applyBorder="1" applyAlignment="1" applyProtection="1">
      <alignment horizontal="center" vertical="center" shrinkToFit="1"/>
      <protection hidden="1"/>
    </xf>
    <xf numFmtId="2" fontId="25" fillId="0" borderId="21" xfId="0" applyNumberFormat="1" applyFont="1" applyFill="1" applyBorder="1" applyAlignment="1" applyProtection="1">
      <alignment vertical="center"/>
      <protection hidden="1"/>
    </xf>
    <xf numFmtId="2" fontId="25" fillId="0" borderId="22" xfId="0" applyNumberFormat="1" applyFont="1" applyFill="1" applyBorder="1" applyAlignment="1" applyProtection="1">
      <alignment horizontal="center" vertical="center"/>
      <protection hidden="1"/>
    </xf>
    <xf numFmtId="2" fontId="25" fillId="0" borderId="20" xfId="0" applyNumberFormat="1" applyFont="1" applyFill="1" applyBorder="1" applyAlignment="1" applyProtection="1">
      <alignment horizontal="center" vertical="center"/>
      <protection hidden="1"/>
    </xf>
    <xf numFmtId="0" fontId="43" fillId="0" borderId="0" xfId="0" applyFont="1" applyFill="1" applyAlignment="1" applyProtection="1">
      <alignment vertical="center"/>
      <protection hidden="1"/>
    </xf>
    <xf numFmtId="2" fontId="61" fillId="0" borderId="8" xfId="0" applyNumberFormat="1" applyFont="1" applyFill="1" applyBorder="1" applyAlignment="1" applyProtection="1">
      <alignment horizontal="left" vertical="center"/>
      <protection hidden="1"/>
    </xf>
    <xf numFmtId="2" fontId="61" fillId="0" borderId="8" xfId="0" applyNumberFormat="1" applyFont="1" applyFill="1" applyBorder="1" applyAlignment="1" applyProtection="1">
      <alignment horizontal="left" vertical="center" wrapText="1"/>
      <protection hidden="1"/>
    </xf>
    <xf numFmtId="2" fontId="61" fillId="0" borderId="8" xfId="0" applyNumberFormat="1" applyFont="1" applyFill="1" applyBorder="1" applyAlignment="1" applyProtection="1">
      <alignment horizontal="center" vertical="center"/>
      <protection hidden="1"/>
    </xf>
    <xf numFmtId="1" fontId="43" fillId="0" borderId="8" xfId="0" applyNumberFormat="1" applyFont="1" applyFill="1" applyBorder="1" applyAlignment="1" applyProtection="1">
      <alignment horizontal="left" vertical="center"/>
      <protection hidden="1"/>
    </xf>
    <xf numFmtId="0" fontId="71" fillId="4" borderId="1" xfId="0" applyFont="1" applyFill="1" applyBorder="1" applyAlignment="1" applyProtection="1">
      <alignment horizontal="center" vertical="center" wrapText="1"/>
      <protection hidden="1"/>
    </xf>
    <xf numFmtId="0" fontId="0" fillId="5" borderId="0" xfId="0" applyFill="1" applyAlignment="1" applyProtection="1">
      <alignment vertical="top" wrapText="1"/>
      <protection hidden="1"/>
    </xf>
    <xf numFmtId="0" fontId="15" fillId="5" borderId="39" xfId="0" applyFont="1" applyFill="1" applyBorder="1" applyAlignment="1" applyProtection="1">
      <alignment vertical="top"/>
      <protection hidden="1"/>
    </xf>
    <xf numFmtId="0" fontId="19" fillId="5" borderId="0" xfId="0" applyFont="1" applyFill="1" applyAlignment="1" applyProtection="1">
      <alignment vertical="top"/>
      <protection hidden="1"/>
    </xf>
    <xf numFmtId="167" fontId="15" fillId="5" borderId="0" xfId="0" applyNumberFormat="1" applyFont="1" applyFill="1" applyAlignment="1" applyProtection="1">
      <alignment horizontal="right" vertical="top"/>
      <protection hidden="1"/>
    </xf>
    <xf numFmtId="0" fontId="15" fillId="5" borderId="0" xfId="0" applyFont="1" applyFill="1" applyBorder="1" applyAlignment="1" applyProtection="1">
      <alignment vertical="top"/>
      <protection hidden="1"/>
    </xf>
    <xf numFmtId="167" fontId="15" fillId="5" borderId="0" xfId="0" applyNumberFormat="1" applyFont="1" applyFill="1" applyBorder="1" applyAlignment="1" applyProtection="1">
      <alignment horizontal="right" vertical="top"/>
      <protection hidden="1"/>
    </xf>
    <xf numFmtId="0" fontId="15" fillId="5" borderId="39" xfId="0" applyFont="1" applyFill="1" applyBorder="1" applyAlignment="1" applyProtection="1">
      <alignment horizontal="right" vertical="top"/>
      <protection hidden="1"/>
    </xf>
    <xf numFmtId="0" fontId="20" fillId="5" borderId="39" xfId="0" applyFont="1" applyFill="1" applyBorder="1" applyAlignment="1" applyProtection="1">
      <alignment vertical="top"/>
      <protection hidden="1"/>
    </xf>
    <xf numFmtId="0" fontId="66" fillId="5" borderId="39" xfId="0" applyFont="1" applyFill="1" applyBorder="1" applyAlignment="1" applyProtection="1">
      <alignment vertical="top"/>
      <protection hidden="1"/>
    </xf>
    <xf numFmtId="0" fontId="111" fillId="0" borderId="0" xfId="0" applyFont="1" applyFill="1" applyAlignment="1">
      <alignment vertical="center" wrapText="1"/>
    </xf>
    <xf numFmtId="0" fontId="21" fillId="0" borderId="0" xfId="0" applyFont="1" applyFill="1" applyBorder="1" applyAlignment="1">
      <alignment vertical="center" wrapText="1"/>
    </xf>
    <xf numFmtId="0" fontId="15" fillId="10" borderId="84" xfId="0" applyFont="1" applyFill="1" applyBorder="1" applyAlignment="1" applyProtection="1">
      <alignment horizontal="center" vertical="center"/>
      <protection hidden="1"/>
    </xf>
    <xf numFmtId="0" fontId="4" fillId="0" borderId="8" xfId="0" applyFont="1" applyBorder="1" applyAlignment="1" applyProtection="1">
      <alignment horizontal="center" vertical="center"/>
    </xf>
    <xf numFmtId="0" fontId="21" fillId="0" borderId="32" xfId="0" applyFont="1" applyBorder="1" applyAlignment="1">
      <alignment horizontal="left" vertical="center"/>
    </xf>
    <xf numFmtId="0" fontId="21" fillId="0" borderId="0" xfId="0" applyFont="1" applyBorder="1" applyAlignment="1">
      <alignment horizontal="left" vertical="center"/>
    </xf>
    <xf numFmtId="0" fontId="21" fillId="0" borderId="38" xfId="0" applyFont="1" applyBorder="1" applyAlignment="1">
      <alignment horizontal="left" vertical="center"/>
    </xf>
    <xf numFmtId="0" fontId="16" fillId="0" borderId="0" xfId="0" applyFont="1" applyFill="1" applyBorder="1" applyAlignment="1" applyProtection="1">
      <alignment vertical="center"/>
      <protection hidden="1"/>
    </xf>
    <xf numFmtId="0" fontId="16" fillId="0" borderId="0" xfId="0" applyFont="1" applyFill="1" applyBorder="1" applyAlignment="1" applyProtection="1">
      <alignment vertical="center"/>
      <protection locked="0"/>
    </xf>
    <xf numFmtId="2" fontId="92" fillId="0" borderId="0" xfId="0" applyNumberFormat="1" applyFont="1" applyFill="1" applyBorder="1" applyAlignment="1" applyProtection="1">
      <alignment vertical="center"/>
      <protection hidden="1"/>
    </xf>
    <xf numFmtId="0" fontId="91" fillId="0" borderId="0" xfId="0" applyFont="1" applyFill="1" applyBorder="1" applyAlignment="1" applyProtection="1">
      <alignment vertical="center"/>
      <protection hidden="1"/>
    </xf>
    <xf numFmtId="0" fontId="15" fillId="0" borderId="84" xfId="0" applyFont="1" applyBorder="1" applyAlignment="1" applyProtection="1">
      <alignment horizontal="center" vertical="center" wrapText="1"/>
      <protection hidden="1"/>
    </xf>
    <xf numFmtId="0" fontId="0" fillId="0" borderId="49" xfId="0" applyBorder="1" applyAlignment="1" applyProtection="1">
      <alignment horizontal="center" vertical="center"/>
      <protection hidden="1"/>
    </xf>
    <xf numFmtId="0" fontId="0" fillId="0" borderId="14" xfId="0" applyBorder="1" applyAlignment="1" applyProtection="1">
      <alignment horizontal="center" vertical="center" wrapText="1"/>
      <protection hidden="1"/>
    </xf>
    <xf numFmtId="0" fontId="0" fillId="0" borderId="57" xfId="0" applyBorder="1" applyAlignment="1" applyProtection="1">
      <alignment horizontal="center" vertical="center"/>
      <protection hidden="1"/>
    </xf>
    <xf numFmtId="0" fontId="0" fillId="0" borderId="20" xfId="0" applyBorder="1" applyAlignment="1" applyProtection="1">
      <alignment horizontal="center" vertical="center"/>
      <protection hidden="1"/>
    </xf>
    <xf numFmtId="0" fontId="0" fillId="0" borderId="62" xfId="0" applyBorder="1" applyAlignment="1" applyProtection="1">
      <alignment horizontal="center" vertical="center"/>
      <protection hidden="1"/>
    </xf>
    <xf numFmtId="0" fontId="0" fillId="0" borderId="77" xfId="0" applyFill="1" applyBorder="1" applyAlignment="1" applyProtection="1">
      <alignment horizontal="center" vertical="center"/>
      <protection hidden="1"/>
    </xf>
    <xf numFmtId="0" fontId="0" fillId="10" borderId="38" xfId="0" applyFill="1" applyBorder="1" applyAlignment="1" applyProtection="1">
      <alignment horizontal="center" vertical="center"/>
      <protection hidden="1"/>
    </xf>
    <xf numFmtId="0" fontId="0" fillId="0" borderId="38" xfId="0" applyFill="1" applyBorder="1" applyAlignment="1" applyProtection="1">
      <alignment horizontal="center" vertical="center"/>
      <protection hidden="1"/>
    </xf>
    <xf numFmtId="0" fontId="15" fillId="0" borderId="5" xfId="0" applyFont="1" applyBorder="1" applyAlignment="1" applyProtection="1">
      <alignment horizontal="center" vertical="center" wrapText="1"/>
      <protection hidden="1"/>
    </xf>
    <xf numFmtId="0" fontId="0" fillId="0" borderId="2" xfId="0" applyBorder="1" applyAlignment="1" applyProtection="1">
      <alignment horizontal="center" vertical="center"/>
      <protection hidden="1"/>
    </xf>
    <xf numFmtId="0" fontId="0" fillId="0" borderId="37" xfId="0" applyBorder="1" applyAlignment="1" applyProtection="1">
      <alignment horizontal="center" vertical="center"/>
      <protection hidden="1"/>
    </xf>
    <xf numFmtId="0" fontId="60" fillId="0" borderId="53" xfId="0" applyFont="1" applyFill="1" applyBorder="1" applyAlignment="1" applyProtection="1">
      <alignment horizontal="center" vertical="center"/>
      <protection hidden="1"/>
    </xf>
    <xf numFmtId="0" fontId="60" fillId="0" borderId="17" xfId="0" applyFont="1" applyFill="1" applyBorder="1" applyAlignment="1" applyProtection="1">
      <alignment horizontal="center" vertical="center"/>
      <protection hidden="1"/>
    </xf>
    <xf numFmtId="0" fontId="21" fillId="0" borderId="8" xfId="0" applyFont="1" applyFill="1" applyBorder="1" applyAlignment="1" applyProtection="1">
      <alignment horizontal="center" vertical="center"/>
      <protection hidden="1"/>
    </xf>
    <xf numFmtId="0" fontId="0" fillId="0" borderId="0" xfId="0" applyAlignment="1">
      <alignment vertical="center"/>
    </xf>
    <xf numFmtId="0" fontId="100" fillId="26" borderId="8" xfId="0" applyFont="1" applyFill="1" applyBorder="1" applyAlignment="1" applyProtection="1">
      <alignment horizontal="center" vertical="center"/>
      <protection hidden="1"/>
    </xf>
    <xf numFmtId="0" fontId="37" fillId="0" borderId="0" xfId="0" applyFont="1" applyFill="1" applyBorder="1" applyAlignment="1">
      <alignment horizontal="left" vertical="center"/>
    </xf>
    <xf numFmtId="176" fontId="15" fillId="0" borderId="0" xfId="0" applyNumberFormat="1" applyFont="1" applyFill="1" applyBorder="1" applyAlignment="1" applyProtection="1">
      <alignment vertical="center"/>
      <protection locked="0"/>
    </xf>
    <xf numFmtId="176" fontId="0" fillId="0" borderId="0" xfId="0" applyNumberFormat="1" applyFill="1" applyBorder="1" applyAlignment="1" applyProtection="1">
      <alignment vertical="center"/>
      <protection locked="0"/>
    </xf>
    <xf numFmtId="0" fontId="83" fillId="0" borderId="0" xfId="0" applyFont="1" applyFill="1" applyAlignment="1">
      <alignment vertical="center"/>
    </xf>
    <xf numFmtId="191" fontId="18" fillId="9" borderId="8" xfId="0" applyNumberFormat="1" applyFont="1" applyFill="1" applyBorder="1" applyAlignment="1" applyProtection="1">
      <alignment horizontal="left" vertical="center"/>
      <protection locked="0"/>
    </xf>
    <xf numFmtId="166" fontId="15" fillId="0" borderId="8" xfId="0" applyNumberFormat="1" applyFont="1" applyFill="1" applyBorder="1" applyAlignment="1" applyProtection="1">
      <alignment horizontal="center" vertical="center"/>
    </xf>
    <xf numFmtId="182" fontId="15" fillId="9" borderId="8" xfId="0" applyNumberFormat="1" applyFont="1" applyFill="1" applyBorder="1" applyAlignment="1" applyProtection="1">
      <alignment horizontal="center" vertical="center"/>
      <protection locked="0"/>
    </xf>
    <xf numFmtId="0" fontId="15" fillId="10" borderId="58" xfId="0" applyFont="1" applyFill="1" applyBorder="1" applyAlignment="1" applyProtection="1">
      <alignment horizontal="center" vertical="center"/>
      <protection locked="0"/>
    </xf>
    <xf numFmtId="0" fontId="15" fillId="0" borderId="0" xfId="0" applyFont="1" applyFill="1" applyBorder="1" applyAlignment="1" applyProtection="1">
      <alignment vertical="center"/>
      <protection hidden="1"/>
    </xf>
    <xf numFmtId="0" fontId="0" fillId="0" borderId="0" xfId="0" applyFill="1" applyBorder="1" applyAlignment="1">
      <alignment vertical="center"/>
    </xf>
    <xf numFmtId="0" fontId="15" fillId="0" borderId="8" xfId="0" applyFont="1" applyBorder="1" applyAlignment="1" applyProtection="1">
      <alignment horizontal="center" vertical="center"/>
    </xf>
    <xf numFmtId="14" fontId="0" fillId="0" borderId="0" xfId="0" applyNumberFormat="1" applyAlignment="1">
      <alignment vertical="center"/>
    </xf>
    <xf numFmtId="0" fontId="79" fillId="0" borderId="0" xfId="0" applyFont="1" applyFill="1" applyAlignment="1">
      <alignment horizontal="left" vertical="center" wrapText="1"/>
    </xf>
    <xf numFmtId="0" fontId="18" fillId="9" borderId="18" xfId="0" applyFont="1" applyFill="1" applyBorder="1" applyAlignment="1" applyProtection="1">
      <alignment horizontal="center" vertical="center"/>
      <protection locked="0"/>
    </xf>
    <xf numFmtId="0" fontId="0" fillId="0" borderId="0" xfId="0" applyAlignment="1">
      <alignment horizontal="left" vertical="center"/>
    </xf>
    <xf numFmtId="183" fontId="46" fillId="9" borderId="8" xfId="2" applyNumberFormat="1" applyFont="1" applyFill="1" applyBorder="1" applyAlignment="1" applyProtection="1">
      <alignment horizontal="center" vertical="center" wrapText="1"/>
      <protection locked="0"/>
    </xf>
    <xf numFmtId="0" fontId="47" fillId="0" borderId="0" xfId="0" applyNumberFormat="1" applyFont="1" applyFill="1" applyBorder="1" applyAlignment="1" applyProtection="1">
      <alignment vertical="center" wrapText="1"/>
      <protection locked="0"/>
    </xf>
    <xf numFmtId="0" fontId="47" fillId="0" borderId="0" xfId="0" applyNumberFormat="1" applyFont="1" applyFill="1" applyBorder="1" applyAlignment="1" applyProtection="1">
      <alignment horizontal="left" vertical="center" wrapText="1"/>
      <protection locked="0"/>
    </xf>
    <xf numFmtId="0" fontId="0" fillId="0" borderId="25" xfId="0" applyBorder="1" applyAlignment="1" applyProtection="1">
      <alignment vertical="center"/>
      <protection hidden="1"/>
    </xf>
    <xf numFmtId="0" fontId="0" fillId="0" borderId="39" xfId="0" applyBorder="1" applyAlignment="1">
      <alignment vertical="center"/>
    </xf>
    <xf numFmtId="0" fontId="0" fillId="0" borderId="40" xfId="0" applyBorder="1" applyAlignment="1">
      <alignment vertical="center"/>
    </xf>
    <xf numFmtId="0" fontId="91" fillId="0" borderId="0" xfId="0" applyFont="1" applyAlignment="1">
      <alignment vertical="center"/>
    </xf>
    <xf numFmtId="0" fontId="18" fillId="9" borderId="21" xfId="0" applyFont="1" applyFill="1" applyBorder="1" applyAlignment="1" applyProtection="1">
      <alignment horizontal="left" vertical="center"/>
      <protection hidden="1"/>
    </xf>
    <xf numFmtId="0" fontId="18" fillId="9" borderId="22" xfId="0" applyFont="1" applyFill="1" applyBorder="1" applyAlignment="1" applyProtection="1">
      <alignment horizontal="left" vertical="center"/>
      <protection hidden="1"/>
    </xf>
    <xf numFmtId="0" fontId="18" fillId="9" borderId="20" xfId="0" applyFont="1" applyFill="1" applyBorder="1" applyAlignment="1" applyProtection="1">
      <alignment horizontal="left" vertical="center"/>
      <protection hidden="1"/>
    </xf>
    <xf numFmtId="0" fontId="21" fillId="0" borderId="32" xfId="0" applyFont="1" applyBorder="1" applyAlignment="1">
      <alignment vertical="center" wrapText="1"/>
    </xf>
    <xf numFmtId="0" fontId="83" fillId="0" borderId="0" xfId="0" applyFont="1" applyAlignment="1">
      <alignment vertical="center"/>
    </xf>
    <xf numFmtId="0" fontId="21" fillId="0" borderId="0" xfId="0" applyFont="1" applyBorder="1" applyAlignment="1">
      <alignment vertical="center" wrapText="1"/>
    </xf>
    <xf numFmtId="0" fontId="18" fillId="0" borderId="0" xfId="0" applyFont="1" applyFill="1" applyBorder="1" applyAlignment="1">
      <alignment horizontal="center" vertical="center"/>
    </xf>
    <xf numFmtId="0" fontId="15" fillId="0" borderId="0" xfId="0" applyFont="1" applyFill="1" applyBorder="1" applyAlignment="1">
      <alignment horizontal="center" vertical="center"/>
    </xf>
    <xf numFmtId="10" fontId="0" fillId="9" borderId="8" xfId="0" applyNumberFormat="1" applyFill="1" applyBorder="1" applyAlignment="1" applyProtection="1">
      <alignment horizontal="center" vertical="center"/>
      <protection locked="0"/>
    </xf>
    <xf numFmtId="10" fontId="0" fillId="0" borderId="0" xfId="0" applyNumberFormat="1" applyFill="1" applyBorder="1" applyAlignment="1" applyProtection="1">
      <alignment horizontal="center" vertical="center"/>
      <protection locked="0"/>
    </xf>
    <xf numFmtId="0" fontId="15" fillId="0" borderId="0" xfId="0" applyFont="1" applyAlignment="1">
      <alignment horizontal="center" vertical="center"/>
    </xf>
    <xf numFmtId="0" fontId="0" fillId="0" borderId="0" xfId="0" applyBorder="1" applyAlignment="1">
      <alignment vertical="center"/>
    </xf>
    <xf numFmtId="0" fontId="15" fillId="0" borderId="0" xfId="0" applyFont="1" applyBorder="1" applyAlignment="1">
      <alignment horizontal="center" vertical="center"/>
    </xf>
    <xf numFmtId="0" fontId="0" fillId="0" borderId="2" xfId="0" applyBorder="1" applyAlignment="1">
      <alignment vertical="center"/>
    </xf>
    <xf numFmtId="0" fontId="0" fillId="0" borderId="10" xfId="0" applyBorder="1" applyAlignment="1">
      <alignment vertical="center"/>
    </xf>
    <xf numFmtId="0" fontId="15" fillId="0" borderId="10" xfId="0" applyFont="1" applyBorder="1" applyAlignment="1">
      <alignment horizontal="center" vertical="center"/>
    </xf>
    <xf numFmtId="0" fontId="0" fillId="0" borderId="37" xfId="0" applyBorder="1" applyAlignment="1">
      <alignment vertical="center"/>
    </xf>
    <xf numFmtId="168" fontId="0" fillId="0" borderId="23" xfId="0" applyNumberFormat="1" applyBorder="1" applyAlignment="1">
      <alignment vertical="center"/>
    </xf>
    <xf numFmtId="0" fontId="15" fillId="0" borderId="32" xfId="0" applyFont="1" applyFill="1" applyBorder="1" applyAlignment="1">
      <alignment horizontal="left" vertical="center"/>
    </xf>
    <xf numFmtId="0" fontId="0" fillId="0" borderId="38" xfId="0" applyBorder="1" applyAlignment="1">
      <alignment vertical="center"/>
    </xf>
    <xf numFmtId="0" fontId="0" fillId="0" borderId="32" xfId="0" applyBorder="1" applyAlignment="1">
      <alignment vertical="center"/>
    </xf>
    <xf numFmtId="0" fontId="0" fillId="0" borderId="16" xfId="0" applyBorder="1" applyAlignment="1">
      <alignment vertical="center"/>
    </xf>
    <xf numFmtId="0" fontId="15" fillId="9" borderId="23" xfId="0" applyFont="1" applyFill="1" applyBorder="1" applyAlignment="1">
      <alignment horizontal="center" vertical="center"/>
    </xf>
    <xf numFmtId="0" fontId="0" fillId="9" borderId="16" xfId="0" applyFill="1" applyBorder="1" applyAlignment="1">
      <alignment horizontal="center" vertical="center"/>
    </xf>
    <xf numFmtId="0" fontId="94" fillId="9" borderId="40" xfId="0" applyFont="1" applyFill="1" applyBorder="1" applyAlignment="1">
      <alignment horizontal="center" vertical="center"/>
    </xf>
    <xf numFmtId="0" fontId="18" fillId="9" borderId="0" xfId="0" applyFont="1" applyFill="1" applyBorder="1" applyAlignment="1">
      <alignment horizontal="center" vertical="center"/>
    </xf>
    <xf numFmtId="0" fontId="18" fillId="9" borderId="8" xfId="0" applyFont="1" applyFill="1" applyBorder="1" applyAlignment="1">
      <alignment horizontal="center" vertical="center"/>
    </xf>
    <xf numFmtId="0" fontId="21" fillId="0" borderId="8" xfId="0" applyFont="1" applyBorder="1" applyAlignment="1">
      <alignment vertical="center"/>
    </xf>
    <xf numFmtId="179" fontId="56" fillId="0" borderId="0" xfId="0" applyNumberFormat="1" applyFont="1" applyFill="1" applyBorder="1" applyAlignment="1">
      <alignment vertical="center"/>
    </xf>
    <xf numFmtId="0" fontId="41" fillId="0" borderId="0" xfId="0" applyFont="1" applyFill="1" applyBorder="1" applyAlignment="1" applyProtection="1">
      <alignment horizontal="center" vertical="center" wrapText="1"/>
      <protection locked="0"/>
    </xf>
    <xf numFmtId="166" fontId="31" fillId="0" borderId="8" xfId="0" applyNumberFormat="1" applyFont="1" applyBorder="1" applyAlignment="1">
      <alignment horizontal="center" vertical="center"/>
    </xf>
    <xf numFmtId="0" fontId="31" fillId="0" borderId="8" xfId="0" applyFont="1" applyBorder="1" applyAlignment="1">
      <alignment horizontal="center" vertical="center"/>
    </xf>
    <xf numFmtId="0" fontId="31" fillId="0" borderId="8" xfId="0" applyFont="1" applyBorder="1" applyAlignment="1">
      <alignment horizontal="left" vertical="center"/>
    </xf>
    <xf numFmtId="0" fontId="31" fillId="0" borderId="8" xfId="0" applyFont="1" applyBorder="1" applyAlignment="1">
      <alignment vertical="center"/>
    </xf>
    <xf numFmtId="0" fontId="32" fillId="0" borderId="8" xfId="0" applyFont="1" applyFill="1" applyBorder="1" applyAlignment="1" applyProtection="1">
      <alignment horizontal="center" vertical="center"/>
    </xf>
    <xf numFmtId="0" fontId="59" fillId="5" borderId="8" xfId="0" applyFont="1" applyFill="1" applyBorder="1" applyAlignment="1">
      <alignment horizontal="left" vertical="center"/>
    </xf>
    <xf numFmtId="0" fontId="59" fillId="5" borderId="8" xfId="0" applyFont="1" applyFill="1" applyBorder="1" applyAlignment="1">
      <alignment vertical="center"/>
    </xf>
    <xf numFmtId="0" fontId="31" fillId="0" borderId="8" xfId="0" applyFont="1" applyBorder="1" applyAlignment="1">
      <alignment vertical="center" wrapText="1"/>
    </xf>
    <xf numFmtId="0" fontId="18" fillId="9" borderId="22" xfId="0" applyFont="1" applyFill="1" applyBorder="1" applyAlignment="1" applyProtection="1">
      <alignment horizontal="left" vertical="center"/>
      <protection locked="0"/>
    </xf>
    <xf numFmtId="0" fontId="18" fillId="9" borderId="20" xfId="0" applyFont="1" applyFill="1" applyBorder="1" applyAlignment="1" applyProtection="1">
      <alignment horizontal="left" vertical="center"/>
      <protection locked="0"/>
    </xf>
    <xf numFmtId="167" fontId="18" fillId="9" borderId="8" xfId="0" applyNumberFormat="1" applyFont="1" applyFill="1" applyBorder="1" applyAlignment="1" applyProtection="1">
      <alignment horizontal="left" vertical="center"/>
      <protection locked="0"/>
    </xf>
    <xf numFmtId="0" fontId="31" fillId="0" borderId="8" xfId="0" applyFont="1" applyBorder="1" applyAlignment="1">
      <alignment horizontal="center" vertical="center"/>
    </xf>
    <xf numFmtId="167" fontId="15" fillId="9" borderId="8" xfId="0" applyNumberFormat="1" applyFont="1" applyFill="1" applyBorder="1" applyAlignment="1" applyProtection="1">
      <alignment horizontal="center" vertical="center"/>
      <protection locked="0"/>
    </xf>
    <xf numFmtId="167" fontId="59" fillId="5" borderId="8" xfId="0" applyNumberFormat="1" applyFont="1" applyFill="1" applyBorder="1" applyAlignment="1">
      <alignment horizontal="left" vertical="center"/>
    </xf>
    <xf numFmtId="0" fontId="43" fillId="0" borderId="12" xfId="0" applyFont="1" applyBorder="1" applyAlignment="1">
      <alignment horizontal="center" vertical="center"/>
    </xf>
    <xf numFmtId="186" fontId="56" fillId="0" borderId="0" xfId="0" applyNumberFormat="1" applyFont="1" applyFill="1" applyBorder="1" applyAlignment="1">
      <alignment horizontal="center" vertical="center"/>
    </xf>
    <xf numFmtId="0" fontId="43" fillId="0" borderId="0" xfId="0" applyFont="1" applyFill="1" applyAlignment="1">
      <alignment horizontal="left" vertical="center"/>
    </xf>
    <xf numFmtId="187" fontId="54" fillId="0" borderId="0" xfId="0" applyNumberFormat="1" applyFont="1" applyFill="1" applyBorder="1" applyAlignment="1">
      <alignment horizontal="center" vertical="center"/>
    </xf>
    <xf numFmtId="10" fontId="0" fillId="9" borderId="0" xfId="0" applyNumberFormat="1" applyFill="1" applyBorder="1" applyAlignment="1" applyProtection="1">
      <alignment horizontal="center" vertical="center"/>
      <protection locked="0"/>
    </xf>
    <xf numFmtId="0" fontId="21" fillId="7" borderId="8" xfId="0" applyFont="1" applyFill="1" applyBorder="1" applyAlignment="1">
      <alignment vertical="center"/>
    </xf>
    <xf numFmtId="1" fontId="43" fillId="0" borderId="8" xfId="0" applyNumberFormat="1" applyFont="1" applyBorder="1" applyAlignment="1">
      <alignment horizontal="center" vertical="center"/>
    </xf>
    <xf numFmtId="186" fontId="21" fillId="0" borderId="0" xfId="0" applyNumberFormat="1" applyFont="1" applyFill="1" applyBorder="1" applyAlignment="1">
      <alignment vertical="top" wrapText="1"/>
    </xf>
    <xf numFmtId="0" fontId="43" fillId="0" borderId="0" xfId="0" applyFont="1" applyAlignment="1" applyProtection="1">
      <alignment vertical="center"/>
    </xf>
    <xf numFmtId="10" fontId="0" fillId="0" borderId="0" xfId="0" applyNumberFormat="1" applyFill="1" applyBorder="1" applyAlignment="1" applyProtection="1">
      <alignment horizontal="center" vertical="center"/>
    </xf>
    <xf numFmtId="173" fontId="56" fillId="0" borderId="0" xfId="0" applyNumberFormat="1" applyFont="1" applyBorder="1" applyAlignment="1" applyProtection="1">
      <alignment horizontal="center" vertical="center"/>
    </xf>
    <xf numFmtId="0" fontId="43" fillId="0" borderId="0" xfId="0" applyFont="1" applyAlignment="1" applyProtection="1">
      <alignment vertical="center" wrapText="1"/>
    </xf>
    <xf numFmtId="9" fontId="31" fillId="0" borderId="8" xfId="3" applyFont="1" applyFill="1" applyBorder="1" applyAlignment="1" applyProtection="1">
      <alignment vertical="center" wrapText="1"/>
      <protection hidden="1"/>
    </xf>
    <xf numFmtId="43" fontId="31" fillId="0" borderId="8" xfId="1" applyFont="1" applyFill="1" applyBorder="1" applyAlignment="1" applyProtection="1">
      <alignment vertical="center" wrapText="1"/>
      <protection hidden="1"/>
    </xf>
    <xf numFmtId="0" fontId="71" fillId="4" borderId="1" xfId="0" applyFont="1" applyFill="1" applyBorder="1" applyAlignment="1" applyProtection="1">
      <alignment horizontal="center" vertical="center"/>
      <protection hidden="1"/>
    </xf>
    <xf numFmtId="3" fontId="56" fillId="0" borderId="42" xfId="0" applyNumberFormat="1" applyFont="1" applyFill="1" applyBorder="1" applyAlignment="1" applyProtection="1">
      <alignment vertical="center"/>
      <protection hidden="1"/>
    </xf>
    <xf numFmtId="3" fontId="56" fillId="0" borderId="42" xfId="0" applyNumberFormat="1" applyFont="1" applyBorder="1" applyAlignment="1" applyProtection="1">
      <alignment vertical="center"/>
      <protection hidden="1"/>
    </xf>
    <xf numFmtId="3" fontId="56" fillId="0" borderId="1" xfId="0" applyNumberFormat="1" applyFont="1" applyFill="1" applyBorder="1" applyAlignment="1" applyProtection="1">
      <alignment vertical="center"/>
      <protection hidden="1"/>
    </xf>
    <xf numFmtId="3" fontId="56" fillId="0" borderId="83" xfId="0" applyNumberFormat="1" applyFont="1" applyFill="1" applyBorder="1" applyAlignment="1" applyProtection="1">
      <alignment vertical="center"/>
      <protection hidden="1"/>
    </xf>
    <xf numFmtId="0" fontId="43" fillId="0" borderId="1" xfId="0" applyFont="1" applyFill="1" applyBorder="1" applyAlignment="1" applyProtection="1">
      <alignment horizontal="center" vertical="center"/>
      <protection hidden="1"/>
    </xf>
    <xf numFmtId="0" fontId="56" fillId="7" borderId="8" xfId="0" applyFont="1" applyFill="1" applyBorder="1" applyAlignment="1" applyProtection="1">
      <alignment horizontal="left" vertical="center" wrapText="1"/>
    </xf>
    <xf numFmtId="0" fontId="56" fillId="18" borderId="8" xfId="0" applyFont="1" applyFill="1" applyBorder="1" applyAlignment="1" applyProtection="1">
      <alignment horizontal="left" vertical="center" wrapText="1"/>
    </xf>
    <xf numFmtId="0" fontId="0" fillId="5" borderId="0" xfId="0" applyFill="1" applyAlignment="1">
      <alignment vertical="center"/>
    </xf>
    <xf numFmtId="0" fontId="15" fillId="5" borderId="18" xfId="0" applyFont="1" applyFill="1" applyBorder="1" applyAlignment="1">
      <alignment vertical="center"/>
    </xf>
    <xf numFmtId="0" fontId="15" fillId="5" borderId="53" xfId="0" applyFont="1" applyFill="1" applyBorder="1" applyAlignment="1">
      <alignment vertical="center"/>
    </xf>
    <xf numFmtId="49" fontId="19" fillId="5" borderId="0" xfId="0" applyNumberFormat="1" applyFont="1" applyFill="1" applyAlignment="1">
      <alignment vertical="center"/>
    </xf>
    <xf numFmtId="0" fontId="15" fillId="5" borderId="17" xfId="0" applyFont="1" applyFill="1" applyBorder="1" applyAlignment="1">
      <alignment vertical="center"/>
    </xf>
    <xf numFmtId="0" fontId="20" fillId="8" borderId="0" xfId="0" applyFont="1" applyFill="1" applyAlignment="1">
      <alignment vertical="center"/>
    </xf>
    <xf numFmtId="0" fontId="15" fillId="5" borderId="0" xfId="0" applyFont="1" applyFill="1" applyAlignment="1">
      <alignment vertical="center"/>
    </xf>
    <xf numFmtId="0" fontId="0" fillId="5" borderId="8" xfId="0" applyFill="1" applyBorder="1" applyAlignment="1">
      <alignment vertical="center"/>
    </xf>
    <xf numFmtId="0" fontId="15" fillId="5" borderId="0" xfId="0" applyFont="1" applyFill="1" applyAlignment="1">
      <alignment horizontal="left" vertical="center"/>
    </xf>
    <xf numFmtId="0" fontId="21" fillId="8" borderId="0" xfId="0" applyFont="1" applyFill="1" applyAlignment="1">
      <alignment vertical="center"/>
    </xf>
    <xf numFmtId="0" fontId="0" fillId="5" borderId="23" xfId="0" applyFill="1" applyBorder="1" applyAlignment="1">
      <alignment vertical="center"/>
    </xf>
    <xf numFmtId="0" fontId="15" fillId="5" borderId="33" xfId="0" applyFont="1" applyFill="1" applyBorder="1" applyAlignment="1">
      <alignment vertical="center"/>
    </xf>
    <xf numFmtId="0" fontId="0" fillId="5" borderId="38" xfId="0" applyFill="1" applyBorder="1" applyAlignment="1">
      <alignment vertical="center"/>
    </xf>
    <xf numFmtId="0" fontId="15" fillId="5" borderId="32" xfId="0" applyFont="1" applyFill="1" applyBorder="1" applyAlignment="1">
      <alignment vertical="center"/>
    </xf>
    <xf numFmtId="0" fontId="0" fillId="5" borderId="40" xfId="0" applyFill="1" applyBorder="1" applyAlignment="1">
      <alignment vertical="center"/>
    </xf>
    <xf numFmtId="0" fontId="15" fillId="5" borderId="16" xfId="0" applyFont="1" applyFill="1" applyBorder="1" applyAlignment="1">
      <alignment vertical="center"/>
    </xf>
    <xf numFmtId="0" fontId="15" fillId="8" borderId="0" xfId="0" applyFont="1" applyFill="1" applyAlignment="1">
      <alignment vertical="center"/>
    </xf>
    <xf numFmtId="0" fontId="15" fillId="5" borderId="8" xfId="0" applyFont="1" applyFill="1" applyBorder="1" applyAlignment="1">
      <alignment vertical="center"/>
    </xf>
    <xf numFmtId="0" fontId="0" fillId="5" borderId="0" xfId="0" applyFill="1" applyBorder="1" applyAlignment="1">
      <alignment vertical="center"/>
    </xf>
    <xf numFmtId="0" fontId="0" fillId="5" borderId="0" xfId="0" quotePrefix="1" applyFill="1" applyAlignment="1">
      <alignment horizontal="center" vertical="center"/>
    </xf>
    <xf numFmtId="0" fontId="0" fillId="5" borderId="0" xfId="0" applyFill="1" applyAlignment="1">
      <alignment vertical="top" wrapText="1"/>
    </xf>
    <xf numFmtId="167" fontId="0" fillId="5" borderId="0" xfId="0" applyNumberFormat="1" applyFill="1" applyBorder="1" applyAlignment="1">
      <alignment vertical="center"/>
    </xf>
    <xf numFmtId="0" fontId="15" fillId="5" borderId="0" xfId="0" applyFont="1" applyFill="1" applyAlignment="1">
      <alignment horizontal="right" vertical="center"/>
    </xf>
    <xf numFmtId="0" fontId="0" fillId="5" borderId="0" xfId="0" applyFill="1" applyBorder="1" applyAlignment="1">
      <alignment horizontal="right" vertical="center"/>
    </xf>
    <xf numFmtId="49" fontId="0" fillId="5" borderId="0" xfId="0" applyNumberFormat="1" applyFill="1" applyBorder="1" applyAlignment="1">
      <alignment horizontal="left" vertical="top"/>
    </xf>
    <xf numFmtId="0" fontId="0" fillId="5" borderId="0" xfId="0" applyFill="1" applyBorder="1" applyAlignment="1">
      <alignment vertical="top" wrapText="1"/>
    </xf>
    <xf numFmtId="192" fontId="0" fillId="5" borderId="0" xfId="0" applyNumberFormat="1" applyFill="1" applyBorder="1" applyAlignment="1">
      <alignment horizontal="left" vertical="top"/>
    </xf>
    <xf numFmtId="49" fontId="0" fillId="5" borderId="25" xfId="0" applyNumberFormat="1" applyFill="1" applyBorder="1" applyAlignment="1">
      <alignment horizontal="left" vertical="top"/>
    </xf>
    <xf numFmtId="0" fontId="0" fillId="5" borderId="25" xfId="0" applyFill="1" applyBorder="1" applyAlignment="1">
      <alignment vertical="top" wrapText="1"/>
    </xf>
    <xf numFmtId="0" fontId="0" fillId="5" borderId="23" xfId="0" applyFill="1" applyBorder="1" applyAlignment="1">
      <alignment vertical="top" wrapText="1"/>
    </xf>
    <xf numFmtId="0" fontId="0" fillId="5" borderId="38" xfId="0" applyFill="1" applyBorder="1" applyAlignment="1">
      <alignment vertical="top" wrapText="1"/>
    </xf>
    <xf numFmtId="0" fontId="0" fillId="5" borderId="39" xfId="0" applyFill="1" applyBorder="1" applyAlignment="1">
      <alignment vertical="center"/>
    </xf>
    <xf numFmtId="0" fontId="15" fillId="5" borderId="39" xfId="0" applyFont="1" applyFill="1" applyBorder="1" applyAlignment="1">
      <alignment vertical="center"/>
    </xf>
    <xf numFmtId="0" fontId="85" fillId="29" borderId="0" xfId="0" applyFont="1" applyFill="1"/>
    <xf numFmtId="0" fontId="85" fillId="29" borderId="39" xfId="0" applyFont="1" applyFill="1" applyBorder="1"/>
    <xf numFmtId="0" fontId="21" fillId="21" borderId="8" xfId="0" applyFont="1" applyFill="1" applyBorder="1" applyAlignment="1"/>
    <xf numFmtId="0" fontId="15" fillId="0" borderId="0" xfId="0" applyFont="1" applyFill="1" applyAlignment="1" applyProtection="1"/>
    <xf numFmtId="0" fontId="15" fillId="0" borderId="0" xfId="0" applyFont="1" applyFill="1" applyAlignment="1" applyProtection="1">
      <alignment vertical="center"/>
    </xf>
    <xf numFmtId="0" fontId="15" fillId="0" borderId="0" xfId="0" applyFont="1" applyFill="1" applyAlignment="1" applyProtection="1">
      <alignment horizontal="left"/>
    </xf>
    <xf numFmtId="0" fontId="57" fillId="0" borderId="13" xfId="0" applyFont="1" applyFill="1" applyBorder="1" applyAlignment="1" applyProtection="1">
      <alignment vertical="center"/>
      <protection locked="0"/>
    </xf>
    <xf numFmtId="0" fontId="115" fillId="0" borderId="85" xfId="0" applyFont="1" applyBorder="1" applyAlignment="1">
      <alignment horizontal="left" vertical="top" wrapText="1"/>
    </xf>
    <xf numFmtId="0" fontId="115" fillId="0" borderId="85" xfId="0" applyFont="1" applyBorder="1" applyAlignment="1">
      <alignment horizontal="center" vertical="top" wrapText="1"/>
    </xf>
    <xf numFmtId="0" fontId="115" fillId="0" borderId="85" xfId="0" applyFont="1" applyBorder="1" applyAlignment="1">
      <alignment horizontal="left" vertical="top"/>
    </xf>
    <xf numFmtId="0" fontId="116" fillId="0" borderId="85" xfId="0" applyFont="1" applyBorder="1" applyAlignment="1">
      <alignment horizontal="left" vertical="top"/>
    </xf>
    <xf numFmtId="0" fontId="116" fillId="0" borderId="85" xfId="0" applyFont="1" applyBorder="1" applyAlignment="1">
      <alignment horizontal="center" vertical="top"/>
    </xf>
    <xf numFmtId="0" fontId="115" fillId="30" borderId="85" xfId="0" applyFont="1" applyFill="1" applyBorder="1" applyAlignment="1">
      <alignment vertical="top"/>
    </xf>
    <xf numFmtId="0" fontId="116" fillId="0" borderId="86" xfId="0" applyFont="1" applyBorder="1" applyAlignment="1">
      <alignment vertical="top"/>
    </xf>
    <xf numFmtId="0" fontId="116" fillId="0" borderId="0" xfId="0" applyFont="1" applyAlignment="1"/>
    <xf numFmtId="0" fontId="0" fillId="0" borderId="88" xfId="0" applyBorder="1" applyAlignment="1" applyProtection="1">
      <alignment vertical="center"/>
      <protection hidden="1"/>
    </xf>
    <xf numFmtId="0" fontId="0" fillId="0" borderId="88" xfId="0" applyBorder="1" applyAlignment="1" applyProtection="1">
      <alignment vertical="center" wrapText="1"/>
      <protection hidden="1"/>
    </xf>
    <xf numFmtId="0" fontId="115" fillId="0" borderId="85" xfId="0" applyFont="1" applyBorder="1" applyAlignment="1">
      <alignment vertical="top"/>
    </xf>
    <xf numFmtId="0" fontId="0" fillId="0" borderId="21" xfId="0" applyBorder="1" applyAlignment="1" applyProtection="1">
      <alignment vertical="center"/>
      <protection hidden="1"/>
    </xf>
    <xf numFmtId="0" fontId="0" fillId="0" borderId="20" xfId="0" applyBorder="1" applyAlignment="1" applyProtection="1">
      <alignment horizontal="right" vertical="center"/>
      <protection hidden="1"/>
    </xf>
    <xf numFmtId="0" fontId="115" fillId="0" borderId="87" xfId="0" applyFont="1" applyBorder="1" applyAlignment="1">
      <alignment horizontal="left" vertical="top"/>
    </xf>
    <xf numFmtId="0" fontId="115" fillId="0" borderId="87" xfId="0" applyFont="1" applyBorder="1" applyAlignment="1">
      <alignment vertical="top"/>
    </xf>
    <xf numFmtId="0" fontId="115" fillId="0" borderId="89" xfId="0" applyFont="1" applyBorder="1" applyAlignment="1">
      <alignment horizontal="center" vertical="top" wrapText="1"/>
    </xf>
    <xf numFmtId="0" fontId="0" fillId="0" borderId="53" xfId="0" applyBorder="1" applyAlignment="1" applyProtection="1">
      <alignment vertical="center"/>
      <protection hidden="1"/>
    </xf>
    <xf numFmtId="0" fontId="0" fillId="0" borderId="23" xfId="0" applyBorder="1" applyAlignment="1" applyProtection="1">
      <alignment horizontal="center" vertical="center"/>
      <protection hidden="1"/>
    </xf>
    <xf numFmtId="0" fontId="15" fillId="0" borderId="25" xfId="0" applyFont="1" applyBorder="1" applyAlignment="1" applyProtection="1">
      <alignment horizontal="center" vertical="center" wrapText="1"/>
      <protection hidden="1"/>
    </xf>
    <xf numFmtId="0" fontId="19" fillId="0" borderId="16" xfId="0" applyFont="1" applyBorder="1" applyAlignment="1" applyProtection="1">
      <alignment vertical="center"/>
      <protection hidden="1"/>
    </xf>
    <xf numFmtId="0" fontId="19" fillId="0" borderId="39" xfId="0" applyFont="1" applyBorder="1" applyAlignment="1" applyProtection="1">
      <alignment vertical="center"/>
      <protection hidden="1"/>
    </xf>
    <xf numFmtId="0" fontId="99" fillId="0" borderId="34" xfId="0" applyFont="1" applyBorder="1" applyAlignment="1" applyProtection="1">
      <alignment horizontal="center" vertical="center"/>
      <protection hidden="1"/>
    </xf>
    <xf numFmtId="0" fontId="21" fillId="24" borderId="48" xfId="0" applyFont="1" applyFill="1" applyBorder="1" applyAlignment="1" applyProtection="1">
      <alignment horizontal="center" vertical="center"/>
      <protection locked="0"/>
    </xf>
    <xf numFmtId="0" fontId="21" fillId="24" borderId="46" xfId="0" applyFont="1" applyFill="1" applyBorder="1" applyAlignment="1" applyProtection="1">
      <alignment horizontal="center" vertical="center"/>
      <protection locked="0"/>
    </xf>
    <xf numFmtId="0" fontId="13" fillId="6" borderId="77" xfId="0" applyFont="1" applyFill="1" applyBorder="1" applyAlignment="1" applyProtection="1">
      <alignment horizontal="center" vertical="center" wrapText="1"/>
      <protection hidden="1"/>
    </xf>
    <xf numFmtId="0" fontId="21" fillId="24" borderId="8" xfId="0" applyFont="1" applyFill="1" applyBorder="1" applyAlignment="1" applyProtection="1">
      <alignment horizontal="center" vertical="center"/>
      <protection locked="0"/>
    </xf>
    <xf numFmtId="0" fontId="13" fillId="6" borderId="20" xfId="0" applyFont="1" applyFill="1" applyBorder="1" applyAlignment="1" applyProtection="1">
      <alignment horizontal="center" vertical="center"/>
      <protection hidden="1"/>
    </xf>
    <xf numFmtId="0" fontId="116" fillId="0" borderId="85" xfId="0" applyFont="1" applyBorder="1" applyAlignment="1">
      <alignment horizontal="left" vertical="top"/>
    </xf>
    <xf numFmtId="0" fontId="116" fillId="0" borderId="0" xfId="0" applyFont="1"/>
    <xf numFmtId="0" fontId="116" fillId="0" borderId="86" xfId="0" applyFont="1" applyBorder="1" applyAlignment="1">
      <alignment horizontal="left" vertical="top"/>
    </xf>
    <xf numFmtId="0" fontId="115" fillId="0" borderId="85" xfId="0" applyFont="1" applyBorder="1" applyAlignment="1">
      <alignment horizontal="left" vertical="top" wrapText="1"/>
    </xf>
    <xf numFmtId="0" fontId="0" fillId="25" borderId="27" xfId="0" applyFill="1" applyBorder="1" applyAlignment="1" applyProtection="1">
      <alignment horizontal="center" vertical="center"/>
      <protection locked="0"/>
    </xf>
    <xf numFmtId="0" fontId="0" fillId="25" borderId="8" xfId="0" applyFill="1" applyBorder="1" applyAlignment="1" applyProtection="1">
      <alignment horizontal="center" vertical="center"/>
      <protection locked="0"/>
    </xf>
    <xf numFmtId="0" fontId="116" fillId="0" borderId="0" xfId="0" applyFont="1" applyBorder="1" applyAlignment="1">
      <alignment horizontal="left" vertical="top"/>
    </xf>
    <xf numFmtId="0" fontId="116" fillId="0" borderId="0" xfId="0" applyFont="1" applyBorder="1" applyAlignment="1">
      <alignment vertical="top"/>
    </xf>
    <xf numFmtId="0" fontId="43" fillId="0" borderId="38" xfId="0" applyFont="1" applyBorder="1" applyAlignment="1" applyProtection="1">
      <alignment horizontal="left" vertical="center"/>
      <protection hidden="1"/>
    </xf>
    <xf numFmtId="0" fontId="43" fillId="0" borderId="59" xfId="0" applyFont="1" applyBorder="1" applyAlignment="1" applyProtection="1">
      <alignment horizontal="left" vertical="center"/>
      <protection hidden="1"/>
    </xf>
    <xf numFmtId="0" fontId="31" fillId="0" borderId="8" xfId="0" applyFont="1" applyBorder="1" applyAlignment="1">
      <alignment horizontal="center" vertical="center"/>
    </xf>
    <xf numFmtId="0" fontId="15" fillId="0" borderId="0" xfId="0" applyFont="1" applyAlignment="1" applyProtection="1">
      <alignment horizontal="left" vertical="top"/>
    </xf>
    <xf numFmtId="0" fontId="60" fillId="0" borderId="0" xfId="0" applyFont="1" applyBorder="1" applyAlignment="1" applyProtection="1">
      <alignment horizontal="left" wrapText="1"/>
    </xf>
    <xf numFmtId="0" fontId="117" fillId="0" borderId="0" xfId="0" applyFont="1" applyBorder="1" applyAlignment="1" applyProtection="1">
      <alignment vertical="center" wrapText="1"/>
    </xf>
    <xf numFmtId="0" fontId="18" fillId="0" borderId="0" xfId="0" applyFont="1" applyBorder="1" applyAlignment="1" applyProtection="1"/>
    <xf numFmtId="0" fontId="77" fillId="0" borderId="0" xfId="0" applyFont="1" applyBorder="1" applyAlignment="1" applyProtection="1">
      <alignment horizontal="left" wrapText="1"/>
    </xf>
    <xf numFmtId="0" fontId="83" fillId="9" borderId="31" xfId="0" applyFont="1" applyFill="1" applyBorder="1" applyAlignment="1">
      <alignment horizontal="left" vertical="center"/>
    </xf>
    <xf numFmtId="0" fontId="43" fillId="9" borderId="42" xfId="0" applyFont="1" applyFill="1" applyBorder="1" applyAlignment="1">
      <alignment horizontal="center" vertical="center"/>
    </xf>
    <xf numFmtId="0" fontId="34" fillId="8" borderId="1" xfId="0" applyFont="1" applyFill="1" applyBorder="1" applyAlignment="1">
      <alignment horizontal="center" vertical="center"/>
    </xf>
    <xf numFmtId="0" fontId="119" fillId="8" borderId="32" xfId="0" applyFont="1" applyFill="1" applyBorder="1" applyAlignment="1">
      <alignment vertical="center"/>
    </xf>
    <xf numFmtId="0" fontId="119" fillId="8" borderId="0" xfId="0" applyFont="1" applyFill="1" applyBorder="1" applyAlignment="1">
      <alignment vertical="center"/>
    </xf>
    <xf numFmtId="0" fontId="119" fillId="8" borderId="0" xfId="0" applyFont="1" applyFill="1" applyBorder="1" applyAlignment="1">
      <alignment horizontal="right" vertical="center"/>
    </xf>
    <xf numFmtId="0" fontId="119" fillId="8" borderId="24" xfId="0" applyFont="1" applyFill="1" applyBorder="1" applyAlignment="1">
      <alignment vertical="center"/>
    </xf>
    <xf numFmtId="0" fontId="119" fillId="8" borderId="66" xfId="0" applyFont="1" applyFill="1" applyBorder="1" applyAlignment="1">
      <alignment vertical="center"/>
    </xf>
    <xf numFmtId="0" fontId="119" fillId="8" borderId="41" xfId="0" applyFont="1" applyFill="1" applyBorder="1" applyAlignment="1">
      <alignment vertical="center"/>
    </xf>
    <xf numFmtId="0" fontId="119" fillId="8" borderId="62" xfId="0" applyFont="1" applyFill="1" applyBorder="1" applyAlignment="1">
      <alignment horizontal="right" vertical="center"/>
    </xf>
    <xf numFmtId="0" fontId="34" fillId="8" borderId="0" xfId="0" applyFont="1" applyFill="1" applyBorder="1" applyAlignment="1">
      <alignment vertical="center" wrapText="1"/>
    </xf>
    <xf numFmtId="0" fontId="34" fillId="8" borderId="24" xfId="0" applyFont="1" applyFill="1" applyBorder="1" applyAlignment="1">
      <alignment horizontal="right" vertical="center"/>
    </xf>
    <xf numFmtId="1" fontId="56" fillId="0" borderId="0" xfId="0" applyNumberFormat="1" applyFont="1" applyBorder="1" applyAlignment="1" applyProtection="1">
      <alignment horizontal="center" vertical="center"/>
      <protection hidden="1"/>
    </xf>
    <xf numFmtId="0" fontId="43" fillId="0" borderId="0" xfId="0" applyFont="1" applyBorder="1" applyAlignment="1">
      <alignment vertical="center" wrapText="1"/>
    </xf>
    <xf numFmtId="0" fontId="61" fillId="9" borderId="47" xfId="0" applyFont="1" applyFill="1" applyBorder="1" applyAlignment="1">
      <alignment horizontal="center" vertical="center"/>
    </xf>
    <xf numFmtId="0" fontId="81" fillId="9" borderId="27" xfId="0" applyFont="1" applyFill="1" applyBorder="1" applyAlignment="1" applyProtection="1">
      <alignment horizontal="left" vertical="center"/>
      <protection hidden="1"/>
    </xf>
    <xf numFmtId="0" fontId="81" fillId="9" borderId="8" xfId="0" applyFont="1" applyFill="1" applyBorder="1" applyAlignment="1" applyProtection="1">
      <alignment horizontal="left" vertical="center"/>
      <protection hidden="1"/>
    </xf>
    <xf numFmtId="0" fontId="81" fillId="9" borderId="21" xfId="0" applyFont="1" applyFill="1" applyBorder="1" applyAlignment="1" applyProtection="1">
      <alignment horizontal="left" vertical="center"/>
      <protection hidden="1"/>
    </xf>
    <xf numFmtId="0" fontId="81" fillId="9" borderId="18" xfId="0" applyFont="1" applyFill="1" applyBorder="1" applyAlignment="1" applyProtection="1">
      <alignment horizontal="left" vertical="center" wrapText="1"/>
      <protection hidden="1"/>
    </xf>
    <xf numFmtId="0" fontId="81" fillId="9" borderId="18" xfId="0" applyFont="1" applyFill="1" applyBorder="1" applyAlignment="1" applyProtection="1">
      <alignment vertical="center"/>
      <protection hidden="1"/>
    </xf>
    <xf numFmtId="0" fontId="64" fillId="9" borderId="18" xfId="0" applyFont="1" applyFill="1" applyBorder="1" applyAlignment="1" applyProtection="1">
      <alignment horizontal="left" vertical="center" wrapText="1"/>
      <protection hidden="1"/>
    </xf>
    <xf numFmtId="0" fontId="34" fillId="8" borderId="9" xfId="0" applyNumberFormat="1" applyFont="1" applyFill="1" applyBorder="1" applyAlignment="1" applyProtection="1">
      <alignment horizontal="center" vertical="center" wrapText="1"/>
      <protection locked="0"/>
    </xf>
    <xf numFmtId="0" fontId="18" fillId="8" borderId="9" xfId="0" applyNumberFormat="1" applyFont="1" applyFill="1" applyBorder="1" applyAlignment="1" applyProtection="1">
      <alignment horizontal="center" vertical="center" wrapText="1"/>
      <protection hidden="1"/>
    </xf>
    <xf numFmtId="0" fontId="37" fillId="8" borderId="8" xfId="0" applyFont="1" applyFill="1" applyBorder="1" applyAlignment="1"/>
    <xf numFmtId="0" fontId="37" fillId="8" borderId="8" xfId="0" applyFont="1" applyFill="1" applyBorder="1" applyAlignment="1">
      <alignment horizontal="center"/>
    </xf>
    <xf numFmtId="0" fontId="120" fillId="8" borderId="8" xfId="0" applyFont="1" applyFill="1" applyBorder="1" applyAlignment="1" applyProtection="1">
      <alignment horizontal="center" vertical="center"/>
      <protection locked="0"/>
    </xf>
    <xf numFmtId="43" fontId="60" fillId="9" borderId="8" xfId="1" applyFont="1" applyFill="1" applyBorder="1" applyAlignment="1" applyProtection="1">
      <alignment vertical="center"/>
    </xf>
    <xf numFmtId="43" fontId="60" fillId="9" borderId="17" xfId="1" applyFont="1" applyFill="1" applyBorder="1" applyAlignment="1" applyProtection="1">
      <alignment vertical="center"/>
    </xf>
    <xf numFmtId="43" fontId="26" fillId="9" borderId="21" xfId="1" applyFont="1" applyFill="1" applyBorder="1" applyAlignment="1" applyProtection="1">
      <alignment vertical="center"/>
    </xf>
    <xf numFmtId="43" fontId="6" fillId="9" borderId="8" xfId="1" applyFont="1" applyFill="1" applyBorder="1" applyAlignment="1" applyProtection="1">
      <alignment vertical="center"/>
    </xf>
    <xf numFmtId="43" fontId="41" fillId="9" borderId="8" xfId="1" applyFont="1" applyFill="1" applyBorder="1" applyAlignment="1" applyProtection="1">
      <alignment vertical="center"/>
    </xf>
    <xf numFmtId="43" fontId="60" fillId="9" borderId="21" xfId="1" applyFont="1" applyFill="1" applyBorder="1" applyAlignment="1" applyProtection="1">
      <alignment vertical="center"/>
    </xf>
    <xf numFmtId="43" fontId="6" fillId="9" borderId="8" xfId="1" applyFont="1" applyFill="1" applyBorder="1" applyAlignment="1" applyProtection="1">
      <alignment horizontal="left" vertical="center"/>
    </xf>
    <xf numFmtId="0" fontId="6" fillId="9" borderId="8" xfId="1" applyNumberFormat="1" applyFont="1" applyFill="1" applyBorder="1" applyAlignment="1" applyProtection="1">
      <alignment horizontal="left" vertical="center" shrinkToFit="1"/>
    </xf>
    <xf numFmtId="43" fontId="4" fillId="9" borderId="8" xfId="1" applyFont="1" applyFill="1" applyBorder="1" applyAlignment="1" applyProtection="1">
      <alignment vertical="center"/>
    </xf>
    <xf numFmtId="0" fontId="122" fillId="8" borderId="0" xfId="0" applyFont="1" applyFill="1" applyAlignment="1">
      <alignment horizontal="left" vertical="center"/>
    </xf>
    <xf numFmtId="0" fontId="119" fillId="8" borderId="25" xfId="0" applyFont="1" applyFill="1" applyBorder="1" applyAlignment="1">
      <alignment horizontal="left" vertical="center"/>
    </xf>
    <xf numFmtId="0" fontId="119" fillId="8" borderId="0" xfId="0" applyFont="1" applyFill="1" applyAlignment="1" applyProtection="1">
      <alignment horizontal="right" vertical="center"/>
      <protection hidden="1"/>
    </xf>
    <xf numFmtId="166" fontId="31" fillId="0" borderId="83" xfId="0" applyNumberFormat="1" applyFont="1" applyBorder="1" applyAlignment="1">
      <alignment vertical="center"/>
    </xf>
    <xf numFmtId="0" fontId="123" fillId="8" borderId="4" xfId="0" applyFont="1" applyFill="1" applyBorder="1" applyAlignment="1">
      <alignment vertical="center"/>
    </xf>
    <xf numFmtId="0" fontId="32" fillId="8" borderId="15" xfId="0" applyFont="1" applyFill="1" applyBorder="1" applyAlignment="1">
      <alignment vertical="center"/>
    </xf>
    <xf numFmtId="0" fontId="32" fillId="8" borderId="5" xfId="0" applyFont="1" applyFill="1" applyBorder="1" applyAlignment="1">
      <alignment vertical="center"/>
    </xf>
    <xf numFmtId="0" fontId="31" fillId="0" borderId="17" xfId="0" applyFont="1" applyBorder="1" applyAlignment="1">
      <alignment vertical="center" wrapText="1"/>
    </xf>
    <xf numFmtId="0" fontId="123" fillId="8" borderId="4" xfId="0" applyFont="1" applyFill="1" applyBorder="1" applyAlignment="1">
      <alignment horizontal="left" vertical="center"/>
    </xf>
    <xf numFmtId="0" fontId="122" fillId="8" borderId="5" xfId="0" applyFont="1" applyFill="1" applyBorder="1" applyAlignment="1">
      <alignment horizontal="right" vertical="center"/>
    </xf>
    <xf numFmtId="166" fontId="31" fillId="0" borderId="17" xfId="0" applyNumberFormat="1" applyFont="1" applyBorder="1" applyAlignment="1">
      <alignment horizontal="center" vertical="center"/>
    </xf>
    <xf numFmtId="0" fontId="123" fillId="8" borderId="15" xfId="0" applyFont="1" applyFill="1" applyBorder="1" applyAlignment="1">
      <alignment vertical="center"/>
    </xf>
    <xf numFmtId="0" fontId="60" fillId="8" borderId="1" xfId="0" applyFont="1" applyFill="1" applyBorder="1" applyAlignment="1" applyProtection="1">
      <alignment horizontal="left" wrapText="1"/>
    </xf>
    <xf numFmtId="190" fontId="31" fillId="0" borderId="8" xfId="0" applyNumberFormat="1" applyFont="1" applyBorder="1" applyAlignment="1">
      <alignment horizontal="center" vertical="center"/>
    </xf>
    <xf numFmtId="166" fontId="31" fillId="0" borderId="8" xfId="0" applyNumberFormat="1" applyFont="1" applyBorder="1" applyAlignment="1" applyProtection="1">
      <alignment horizontal="center" vertical="center"/>
    </xf>
    <xf numFmtId="184" fontId="56" fillId="0" borderId="17" xfId="0" applyNumberFormat="1" applyFont="1" applyFill="1" applyBorder="1" applyAlignment="1" applyProtection="1">
      <alignment horizontal="center" vertical="center"/>
    </xf>
    <xf numFmtId="0" fontId="59" fillId="9" borderId="17" xfId="0" applyFont="1" applyFill="1" applyBorder="1" applyAlignment="1">
      <alignment vertical="center"/>
    </xf>
    <xf numFmtId="0" fontId="32" fillId="9" borderId="8" xfId="0" applyFont="1" applyFill="1" applyBorder="1" applyAlignment="1">
      <alignment vertical="center"/>
    </xf>
    <xf numFmtId="0" fontId="59" fillId="9" borderId="8" xfId="0" applyFont="1" applyFill="1" applyBorder="1" applyAlignment="1">
      <alignment vertical="center"/>
    </xf>
    <xf numFmtId="0" fontId="59" fillId="9" borderId="8" xfId="0" applyFont="1" applyFill="1" applyBorder="1" applyAlignment="1">
      <alignment vertical="center" wrapText="1"/>
    </xf>
    <xf numFmtId="0" fontId="59" fillId="9" borderId="83" xfId="0" applyFont="1" applyFill="1" applyBorder="1" applyAlignment="1">
      <alignment vertical="center"/>
    </xf>
    <xf numFmtId="0" fontId="59" fillId="9" borderId="42" xfId="0" applyFont="1" applyFill="1" applyBorder="1" applyAlignment="1">
      <alignment vertical="center"/>
    </xf>
    <xf numFmtId="0" fontId="59" fillId="9" borderId="43" xfId="0" applyFont="1" applyFill="1" applyBorder="1" applyAlignment="1">
      <alignment vertical="center"/>
    </xf>
    <xf numFmtId="0" fontId="59" fillId="9" borderId="79" xfId="0" applyFont="1" applyFill="1" applyBorder="1" applyAlignment="1">
      <alignment vertical="center"/>
    </xf>
    <xf numFmtId="0" fontId="126" fillId="8" borderId="14" xfId="0" applyFont="1" applyFill="1" applyBorder="1" applyAlignment="1">
      <alignment vertical="center"/>
    </xf>
    <xf numFmtId="0" fontId="121" fillId="8" borderId="32" xfId="0" applyFont="1" applyFill="1" applyBorder="1" applyAlignment="1">
      <alignment vertical="center"/>
    </xf>
    <xf numFmtId="0" fontId="121" fillId="8" borderId="0" xfId="0" applyFont="1" applyFill="1" applyBorder="1" applyAlignment="1">
      <alignment vertical="center"/>
    </xf>
    <xf numFmtId="0" fontId="121" fillId="8" borderId="0" xfId="0" applyFont="1" applyFill="1" applyBorder="1" applyAlignment="1">
      <alignment horizontal="right" vertical="center"/>
    </xf>
    <xf numFmtId="0" fontId="61" fillId="9" borderId="8" xfId="0" applyFont="1" applyFill="1" applyBorder="1" applyAlignment="1">
      <alignment horizontal="left" vertical="center"/>
    </xf>
    <xf numFmtId="0" fontId="61" fillId="9" borderId="8" xfId="0" applyFont="1" applyFill="1" applyBorder="1" applyAlignment="1">
      <alignment horizontal="center" vertical="center"/>
    </xf>
    <xf numFmtId="0" fontId="61" fillId="9" borderId="8" xfId="0" applyFont="1" applyFill="1" applyBorder="1" applyAlignment="1">
      <alignment horizontal="center" vertical="center" wrapText="1"/>
    </xf>
    <xf numFmtId="9" fontId="73" fillId="9" borderId="8" xfId="3" applyFont="1" applyFill="1" applyBorder="1" applyAlignment="1" applyProtection="1">
      <alignment horizontal="center" vertical="center" shrinkToFit="1"/>
      <protection locked="0"/>
    </xf>
    <xf numFmtId="10" fontId="73" fillId="9" borderId="8" xfId="3" applyNumberFormat="1" applyFont="1" applyFill="1" applyBorder="1" applyAlignment="1" applyProtection="1">
      <alignment horizontal="center" vertical="center" shrinkToFit="1"/>
      <protection locked="0"/>
    </xf>
    <xf numFmtId="2" fontId="31" fillId="31" borderId="8" xfId="0" applyNumberFormat="1" applyFont="1" applyFill="1" applyBorder="1" applyAlignment="1" applyProtection="1">
      <alignment horizontal="right" vertical="center"/>
      <protection locked="0"/>
    </xf>
    <xf numFmtId="4" fontId="73" fillId="31" borderId="8" xfId="3" applyNumberFormat="1" applyFont="1" applyFill="1" applyBorder="1" applyAlignment="1" applyProtection="1">
      <alignment horizontal="center" vertical="center" shrinkToFit="1"/>
      <protection locked="0"/>
    </xf>
    <xf numFmtId="4" fontId="43" fillId="31" borderId="8" xfId="0" applyNumberFormat="1" applyFont="1" applyFill="1" applyBorder="1" applyAlignment="1" applyProtection="1">
      <alignment horizontal="right" vertical="center"/>
      <protection locked="0"/>
    </xf>
    <xf numFmtId="4" fontId="32" fillId="31" borderId="8" xfId="0" applyNumberFormat="1" applyFont="1" applyFill="1" applyBorder="1" applyAlignment="1" applyProtection="1">
      <alignment vertical="center" wrapText="1"/>
    </xf>
    <xf numFmtId="0" fontId="31" fillId="31" borderId="8" xfId="0" applyNumberFormat="1" applyFont="1" applyFill="1" applyBorder="1" applyAlignment="1" applyProtection="1">
      <alignment vertical="center" wrapText="1"/>
      <protection locked="0"/>
    </xf>
    <xf numFmtId="4" fontId="31" fillId="31" borderId="8" xfId="0" applyNumberFormat="1" applyFont="1" applyFill="1" applyBorder="1" applyAlignment="1" applyProtection="1">
      <alignment vertical="center" wrapText="1"/>
      <protection locked="0"/>
    </xf>
    <xf numFmtId="4" fontId="32" fillId="31" borderId="8" xfId="0" applyNumberFormat="1" applyFont="1" applyFill="1" applyBorder="1" applyAlignment="1" applyProtection="1">
      <alignment vertical="center"/>
      <protection locked="0"/>
    </xf>
    <xf numFmtId="169" fontId="61" fillId="9" borderId="8" xfId="0" applyNumberFormat="1" applyFont="1" applyFill="1" applyBorder="1" applyAlignment="1">
      <alignment horizontal="center" vertical="center" wrapText="1"/>
    </xf>
    <xf numFmtId="0" fontId="43" fillId="9" borderId="8" xfId="0" applyFont="1" applyFill="1" applyBorder="1" applyAlignment="1">
      <alignment horizontal="center" vertical="center"/>
    </xf>
    <xf numFmtId="0" fontId="56" fillId="9" borderId="8" xfId="0" applyFont="1" applyFill="1" applyBorder="1" applyAlignment="1" applyProtection="1">
      <alignment horizontal="center" vertical="center"/>
      <protection locked="0"/>
    </xf>
    <xf numFmtId="10" fontId="43" fillId="9" borderId="8" xfId="0" applyNumberFormat="1" applyFont="1" applyFill="1" applyBorder="1" applyAlignment="1" applyProtection="1">
      <alignment horizontal="center" vertical="center"/>
      <protection locked="0"/>
    </xf>
    <xf numFmtId="0" fontId="87" fillId="9" borderId="8" xfId="0" applyFont="1" applyFill="1" applyBorder="1" applyAlignment="1">
      <alignment horizontal="center" vertical="center" wrapText="1"/>
    </xf>
    <xf numFmtId="0" fontId="55" fillId="9" borderId="8" xfId="0" applyFont="1" applyFill="1" applyBorder="1" applyAlignment="1">
      <alignment horizontal="center" vertical="center" wrapText="1"/>
    </xf>
    <xf numFmtId="0" fontId="55" fillId="9" borderId="8" xfId="0" applyFont="1" applyFill="1" applyBorder="1" applyAlignment="1">
      <alignment horizontal="center" vertical="center"/>
    </xf>
    <xf numFmtId="0" fontId="30" fillId="9" borderId="8" xfId="0" applyFont="1" applyFill="1" applyBorder="1" applyAlignment="1">
      <alignment horizontal="center" vertical="center" wrapText="1"/>
    </xf>
    <xf numFmtId="10" fontId="43" fillId="9" borderId="8" xfId="0" applyNumberFormat="1" applyFont="1" applyFill="1" applyBorder="1" applyAlignment="1" applyProtection="1">
      <alignment horizontal="center" vertical="center"/>
    </xf>
    <xf numFmtId="0" fontId="31" fillId="32" borderId="9" xfId="0" applyFont="1" applyFill="1" applyBorder="1" applyAlignment="1" applyProtection="1">
      <alignment horizontal="left" vertical="top" wrapText="1"/>
      <protection locked="0"/>
    </xf>
    <xf numFmtId="0" fontId="15" fillId="32" borderId="35" xfId="0" applyFont="1" applyFill="1" applyBorder="1" applyAlignment="1" applyProtection="1">
      <alignment horizontal="left" vertical="center"/>
      <protection locked="0"/>
    </xf>
    <xf numFmtId="0" fontId="33" fillId="9" borderId="1" xfId="0" applyFont="1" applyFill="1" applyBorder="1" applyAlignment="1" applyProtection="1">
      <alignment vertical="center"/>
    </xf>
    <xf numFmtId="0" fontId="26" fillId="9" borderId="1" xfId="0" applyFont="1" applyFill="1" applyBorder="1" applyAlignment="1" applyProtection="1">
      <alignment vertical="center"/>
    </xf>
    <xf numFmtId="0" fontId="29" fillId="9" borderId="8" xfId="0" applyFont="1" applyFill="1" applyBorder="1" applyAlignment="1">
      <alignment vertical="center"/>
    </xf>
    <xf numFmtId="0" fontId="33" fillId="9" borderId="8" xfId="0" applyFont="1" applyFill="1" applyBorder="1" applyAlignment="1">
      <alignment horizontal="center" vertical="center"/>
    </xf>
    <xf numFmtId="0" fontId="30" fillId="9" borderId="8" xfId="0" applyFont="1" applyFill="1" applyBorder="1" applyAlignment="1">
      <alignment vertical="center"/>
    </xf>
    <xf numFmtId="0" fontId="30" fillId="8" borderId="8" xfId="0" applyFont="1" applyFill="1" applyBorder="1" applyAlignment="1" applyProtection="1">
      <alignment horizontal="center" vertical="center"/>
      <protection locked="0"/>
    </xf>
    <xf numFmtId="0" fontId="30" fillId="9" borderId="8" xfId="0" applyFont="1" applyFill="1" applyBorder="1" applyAlignment="1" applyProtection="1">
      <alignment horizontal="left" vertical="top"/>
      <protection locked="0"/>
    </xf>
    <xf numFmtId="0" fontId="56" fillId="32" borderId="0" xfId="0" applyFont="1" applyFill="1" applyAlignment="1" applyProtection="1">
      <alignment horizontal="left" vertical="center"/>
    </xf>
    <xf numFmtId="178" fontId="55" fillId="32" borderId="0" xfId="0" applyNumberFormat="1" applyFont="1" applyFill="1" applyAlignment="1" applyProtection="1">
      <alignment horizontal="left" vertical="center"/>
    </xf>
    <xf numFmtId="0" fontId="15" fillId="0" borderId="8" xfId="0" applyFont="1" applyFill="1" applyBorder="1" applyAlignment="1">
      <alignment horizontal="center"/>
    </xf>
    <xf numFmtId="167" fontId="18" fillId="9" borderId="8" xfId="0" applyNumberFormat="1" applyFont="1" applyFill="1" applyBorder="1" applyAlignment="1" applyProtection="1">
      <alignment horizontal="left" vertical="center"/>
      <protection locked="0"/>
    </xf>
    <xf numFmtId="0" fontId="18" fillId="9" borderId="21" xfId="0" applyFont="1" applyFill="1" applyBorder="1" applyAlignment="1" applyProtection="1">
      <alignment horizontal="left" vertical="center"/>
      <protection locked="0"/>
    </xf>
    <xf numFmtId="0" fontId="128" fillId="0" borderId="85" xfId="0" applyFont="1" applyBorder="1" applyAlignment="1">
      <alignment horizontal="left" vertical="top"/>
    </xf>
    <xf numFmtId="0" fontId="127" fillId="0" borderId="88" xfId="0" applyFont="1" applyBorder="1" applyAlignment="1" applyProtection="1">
      <alignment vertical="center"/>
      <protection hidden="1"/>
    </xf>
    <xf numFmtId="0" fontId="129" fillId="30" borderId="85" xfId="0" applyFont="1" applyFill="1" applyBorder="1" applyAlignment="1">
      <alignment horizontal="left" vertical="top"/>
    </xf>
    <xf numFmtId="0" fontId="129" fillId="30" borderId="85" xfId="0" applyFont="1" applyFill="1" applyBorder="1" applyAlignment="1">
      <alignment horizontal="center" vertical="top"/>
    </xf>
    <xf numFmtId="0" fontId="127" fillId="0" borderId="0" xfId="0" applyFont="1" applyAlignment="1" applyProtection="1">
      <alignment vertical="center"/>
      <protection hidden="1"/>
    </xf>
    <xf numFmtId="0" fontId="129" fillId="0" borderId="85" xfId="0" applyFont="1" applyBorder="1" applyAlignment="1">
      <alignment horizontal="left" vertical="top" wrapText="1"/>
    </xf>
    <xf numFmtId="0" fontId="129" fillId="0" borderId="85" xfId="0" applyFont="1" applyBorder="1" applyAlignment="1">
      <alignment horizontal="center" vertical="top" wrapText="1"/>
    </xf>
    <xf numFmtId="0" fontId="129" fillId="0" borderId="89" xfId="0" applyFont="1" applyBorder="1" applyAlignment="1">
      <alignment horizontal="center" vertical="top" wrapText="1"/>
    </xf>
    <xf numFmtId="0" fontId="129" fillId="0" borderId="85" xfId="0" applyFont="1" applyBorder="1" applyAlignment="1">
      <alignment horizontal="left" vertical="top"/>
    </xf>
    <xf numFmtId="0" fontId="128" fillId="0" borderId="0" xfId="0" applyFont="1"/>
    <xf numFmtId="0" fontId="128" fillId="0" borderId="85" xfId="0" applyFont="1" applyBorder="1" applyAlignment="1">
      <alignment horizontal="center" vertical="top"/>
    </xf>
    <xf numFmtId="0" fontId="128" fillId="0" borderId="86" xfId="0" applyFont="1" applyBorder="1" applyAlignment="1">
      <alignment horizontal="left" vertical="top"/>
    </xf>
    <xf numFmtId="0" fontId="129" fillId="0" borderId="85" xfId="0" applyFont="1" applyBorder="1" applyAlignment="1">
      <alignment vertical="top"/>
    </xf>
    <xf numFmtId="0" fontId="129" fillId="30" borderId="85" xfId="0" applyFont="1" applyFill="1" applyBorder="1" applyAlignment="1">
      <alignment vertical="top"/>
    </xf>
    <xf numFmtId="0" fontId="127" fillId="0" borderId="88" xfId="0" applyFont="1" applyBorder="1" applyAlignment="1" applyProtection="1">
      <alignment vertical="center" wrapText="1"/>
      <protection hidden="1"/>
    </xf>
    <xf numFmtId="0" fontId="83" fillId="0" borderId="88" xfId="0" applyFont="1" applyBorder="1" applyAlignment="1" applyProtection="1">
      <alignment vertical="center" wrapText="1"/>
      <protection hidden="1"/>
    </xf>
    <xf numFmtId="0" fontId="130" fillId="30" borderId="85" xfId="0" applyFont="1" applyFill="1" applyBorder="1" applyAlignment="1">
      <alignment vertical="top"/>
    </xf>
    <xf numFmtId="0" fontId="83" fillId="0" borderId="0" xfId="0" applyFont="1" applyAlignment="1" applyProtection="1">
      <alignment vertical="center"/>
      <protection hidden="1"/>
    </xf>
    <xf numFmtId="0" fontId="130" fillId="0" borderId="85" xfId="0" applyFont="1" applyBorder="1" applyAlignment="1">
      <alignment horizontal="left" vertical="top" wrapText="1"/>
    </xf>
    <xf numFmtId="0" fontId="130" fillId="0" borderId="85" xfId="0" applyFont="1" applyBorder="1" applyAlignment="1">
      <alignment horizontal="left" vertical="top"/>
    </xf>
    <xf numFmtId="0" fontId="130" fillId="0" borderId="85" xfId="0" applyFont="1" applyBorder="1" applyAlignment="1">
      <alignment vertical="top"/>
    </xf>
    <xf numFmtId="0" fontId="131" fillId="0" borderId="88" xfId="0" applyFont="1" applyBorder="1" applyAlignment="1" applyProtection="1">
      <alignment vertical="center" wrapText="1"/>
      <protection hidden="1"/>
    </xf>
    <xf numFmtId="0" fontId="132" fillId="30" borderId="85" xfId="0" applyFont="1" applyFill="1" applyBorder="1" applyAlignment="1">
      <alignment vertical="top"/>
    </xf>
    <xf numFmtId="0" fontId="131" fillId="0" borderId="0" xfId="0" applyFont="1" applyAlignment="1" applyProtection="1">
      <alignment vertical="center"/>
      <protection hidden="1"/>
    </xf>
    <xf numFmtId="0" fontId="132" fillId="0" borderId="85" xfId="0" applyFont="1" applyBorder="1" applyAlignment="1">
      <alignment horizontal="left" vertical="top" wrapText="1"/>
    </xf>
    <xf numFmtId="0" fontId="132" fillId="0" borderId="85" xfId="0" applyFont="1" applyBorder="1" applyAlignment="1">
      <alignment horizontal="center" vertical="top" wrapText="1"/>
    </xf>
    <xf numFmtId="0" fontId="132" fillId="0" borderId="89" xfId="0" applyFont="1" applyBorder="1" applyAlignment="1">
      <alignment horizontal="center" vertical="top" wrapText="1"/>
    </xf>
    <xf numFmtId="0" fontId="132" fillId="0" borderId="85" xfId="0" applyFont="1" applyBorder="1" applyAlignment="1">
      <alignment horizontal="left" vertical="top"/>
    </xf>
    <xf numFmtId="0" fontId="133" fillId="0" borderId="85" xfId="0" applyFont="1" applyBorder="1" applyAlignment="1">
      <alignment horizontal="left" vertical="top"/>
    </xf>
    <xf numFmtId="0" fontId="133" fillId="0" borderId="0" xfId="0" applyFont="1"/>
    <xf numFmtId="0" fontId="133" fillId="0" borderId="85" xfId="0" applyFont="1" applyBorder="1" applyAlignment="1">
      <alignment horizontal="center" vertical="top"/>
    </xf>
    <xf numFmtId="0" fontId="133" fillId="0" borderId="86" xfId="0" applyFont="1" applyBorder="1" applyAlignment="1">
      <alignment horizontal="left" vertical="top"/>
    </xf>
    <xf numFmtId="0" fontId="132" fillId="0" borderId="85" xfId="0" applyFont="1" applyBorder="1" applyAlignment="1">
      <alignment vertical="top"/>
    </xf>
    <xf numFmtId="0" fontId="61" fillId="9" borderId="8" xfId="0" applyFont="1" applyFill="1" applyBorder="1" applyAlignment="1">
      <alignment horizontal="center" vertical="center" wrapText="1"/>
    </xf>
    <xf numFmtId="0" fontId="61" fillId="9" borderId="8" xfId="0" applyFont="1" applyFill="1" applyBorder="1" applyAlignment="1">
      <alignment horizontal="left" vertical="center"/>
    </xf>
    <xf numFmtId="0" fontId="135" fillId="17" borderId="0" xfId="0" applyFont="1" applyFill="1" applyAlignment="1">
      <alignment vertical="center" wrapText="1"/>
    </xf>
    <xf numFmtId="0" fontId="134" fillId="17" borderId="0" xfId="0" applyFont="1" applyFill="1" applyAlignment="1">
      <alignment horizontal="center" vertical="center"/>
    </xf>
    <xf numFmtId="0" fontId="15" fillId="10" borderId="35" xfId="0" applyFont="1" applyFill="1" applyBorder="1" applyAlignment="1" applyProtection="1">
      <alignment horizontal="center" vertical="center"/>
      <protection hidden="1"/>
    </xf>
    <xf numFmtId="0" fontId="15" fillId="3" borderId="21" xfId="0" applyFont="1" applyFill="1" applyBorder="1" applyAlignment="1" applyProtection="1">
      <alignment horizontal="center"/>
      <protection locked="0"/>
    </xf>
    <xf numFmtId="0" fontId="15" fillId="3" borderId="22" xfId="0" applyFont="1" applyFill="1" applyBorder="1" applyAlignment="1" applyProtection="1">
      <alignment horizontal="center"/>
      <protection locked="0"/>
    </xf>
    <xf numFmtId="0" fontId="15" fillId="3" borderId="20" xfId="0" applyFont="1" applyFill="1" applyBorder="1" applyAlignment="1" applyProtection="1">
      <alignment horizontal="center"/>
      <protection locked="0"/>
    </xf>
    <xf numFmtId="0" fontId="103" fillId="6" borderId="0" xfId="0" applyFont="1" applyFill="1" applyAlignment="1">
      <alignment horizontal="center"/>
    </xf>
    <xf numFmtId="0" fontId="13" fillId="13" borderId="28" xfId="0" applyFont="1" applyFill="1" applyBorder="1" applyAlignment="1" applyProtection="1">
      <alignment horizontal="center"/>
    </xf>
    <xf numFmtId="0" fontId="13" fillId="13" borderId="8" xfId="0" applyFont="1" applyFill="1" applyBorder="1" applyAlignment="1" applyProtection="1">
      <alignment horizontal="center"/>
    </xf>
    <xf numFmtId="0" fontId="13" fillId="13" borderId="9" xfId="0" applyFont="1" applyFill="1" applyBorder="1" applyAlignment="1" applyProtection="1">
      <alignment horizontal="center"/>
    </xf>
    <xf numFmtId="0" fontId="35" fillId="13" borderId="47" xfId="0" applyFont="1" applyFill="1" applyBorder="1" applyAlignment="1" applyProtection="1">
      <alignment horizontal="left" vertical="top" wrapText="1"/>
    </xf>
    <xf numFmtId="0" fontId="35" fillId="13" borderId="25" xfId="0" applyFont="1" applyFill="1" applyBorder="1" applyAlignment="1" applyProtection="1">
      <alignment horizontal="left" vertical="top" wrapText="1"/>
    </xf>
    <xf numFmtId="0" fontId="35" fillId="13" borderId="24" xfId="0" applyFont="1" applyFill="1" applyBorder="1" applyAlignment="1" applyProtection="1">
      <alignment horizontal="left" vertical="top" wrapText="1"/>
    </xf>
    <xf numFmtId="0" fontId="35" fillId="13" borderId="0" xfId="0" applyFont="1" applyFill="1" applyBorder="1" applyAlignment="1" applyProtection="1">
      <alignment horizontal="left" vertical="top" wrapText="1"/>
    </xf>
    <xf numFmtId="0" fontId="114" fillId="6" borderId="0" xfId="0" applyFont="1" applyFill="1" applyAlignment="1">
      <alignment horizontal="center"/>
    </xf>
    <xf numFmtId="0" fontId="93" fillId="6" borderId="0" xfId="0" applyFont="1" applyFill="1" applyAlignment="1">
      <alignment horizontal="center"/>
    </xf>
    <xf numFmtId="0" fontId="21" fillId="21" borderId="8" xfId="0" applyFont="1" applyFill="1" applyBorder="1" applyAlignment="1"/>
    <xf numFmtId="0" fontId="0" fillId="5" borderId="0" xfId="0" applyFill="1" applyAlignment="1">
      <alignment horizontal="justify" vertical="top" wrapText="1"/>
    </xf>
    <xf numFmtId="0" fontId="24" fillId="5" borderId="0" xfId="0" applyFont="1" applyFill="1" applyAlignment="1">
      <alignment horizontal="center" vertical="center"/>
    </xf>
    <xf numFmtId="0" fontId="15" fillId="5" borderId="33" xfId="0" applyFont="1" applyFill="1" applyBorder="1" applyAlignment="1">
      <alignment horizontal="center"/>
    </xf>
    <xf numFmtId="0" fontId="15" fillId="5" borderId="23" xfId="0" applyFont="1" applyFill="1" applyBorder="1" applyAlignment="1">
      <alignment horizontal="center"/>
    </xf>
    <xf numFmtId="0" fontId="15" fillId="5" borderId="32" xfId="0" applyFont="1" applyFill="1" applyBorder="1" applyAlignment="1">
      <alignment horizontal="center"/>
    </xf>
    <xf numFmtId="0" fontId="15" fillId="5" borderId="38" xfId="0" applyFont="1" applyFill="1" applyBorder="1" applyAlignment="1">
      <alignment horizontal="center"/>
    </xf>
    <xf numFmtId="0" fontId="15" fillId="5" borderId="16" xfId="0" applyFont="1" applyFill="1" applyBorder="1" applyAlignment="1">
      <alignment horizontal="center"/>
    </xf>
    <xf numFmtId="0" fontId="15" fillId="5" borderId="40" xfId="0" applyFont="1" applyFill="1" applyBorder="1" applyAlignment="1">
      <alignment horizontal="center"/>
    </xf>
    <xf numFmtId="49" fontId="0" fillId="5" borderId="25" xfId="0" applyNumberFormat="1" applyFill="1" applyBorder="1" applyAlignment="1">
      <alignment horizontal="left" vertical="center"/>
    </xf>
    <xf numFmtId="49" fontId="0" fillId="5" borderId="23" xfId="0" applyNumberFormat="1" applyFill="1" applyBorder="1" applyAlignment="1">
      <alignment horizontal="left" vertical="center"/>
    </xf>
    <xf numFmtId="49" fontId="0" fillId="5" borderId="0" xfId="0" applyNumberFormat="1" applyFill="1" applyBorder="1" applyAlignment="1">
      <alignment horizontal="left" vertical="center"/>
    </xf>
    <xf numFmtId="49" fontId="0" fillId="5" borderId="38" xfId="0" applyNumberFormat="1" applyFill="1" applyBorder="1" applyAlignment="1">
      <alignment horizontal="left" vertical="center"/>
    </xf>
    <xf numFmtId="49" fontId="19" fillId="5" borderId="0" xfId="0" applyNumberFormat="1" applyFont="1" applyFill="1" applyBorder="1" applyAlignment="1">
      <alignment horizontal="left" vertical="center"/>
    </xf>
    <xf numFmtId="49" fontId="19" fillId="5" borderId="38" xfId="0" applyNumberFormat="1" applyFont="1" applyFill="1" applyBorder="1" applyAlignment="1">
      <alignment horizontal="left" vertical="center"/>
    </xf>
    <xf numFmtId="167" fontId="0" fillId="5" borderId="0" xfId="0" applyNumberFormat="1" applyFill="1" applyBorder="1" applyAlignment="1">
      <alignment horizontal="left" vertical="center"/>
    </xf>
    <xf numFmtId="167" fontId="0" fillId="5" borderId="38" xfId="0" applyNumberFormat="1" applyFill="1" applyBorder="1" applyAlignment="1">
      <alignment horizontal="left" vertical="center"/>
    </xf>
    <xf numFmtId="0" fontId="0" fillId="5" borderId="0" xfId="0" applyFill="1" applyBorder="1" applyAlignment="1">
      <alignment horizontal="left" vertical="center"/>
    </xf>
    <xf numFmtId="0" fontId="0" fillId="5" borderId="38" xfId="0" applyFill="1" applyBorder="1" applyAlignment="1">
      <alignment horizontal="left" vertical="center"/>
    </xf>
    <xf numFmtId="167" fontId="0" fillId="5" borderId="39" xfId="0" applyNumberFormat="1" applyFill="1" applyBorder="1" applyAlignment="1">
      <alignment horizontal="left" vertical="center"/>
    </xf>
    <xf numFmtId="167" fontId="0" fillId="5" borderId="40" xfId="0" applyNumberFormat="1" applyFill="1" applyBorder="1" applyAlignment="1">
      <alignment horizontal="left" vertical="center"/>
    </xf>
    <xf numFmtId="167" fontId="0" fillId="5" borderId="25" xfId="0" applyNumberFormat="1" applyFill="1" applyBorder="1" applyAlignment="1">
      <alignment horizontal="left" vertical="center"/>
    </xf>
    <xf numFmtId="167" fontId="0" fillId="5" borderId="23" xfId="0" applyNumberFormat="1" applyFill="1" applyBorder="1" applyAlignment="1">
      <alignment horizontal="left" vertical="center"/>
    </xf>
    <xf numFmtId="0" fontId="113" fillId="8" borderId="0" xfId="0" applyFont="1" applyFill="1" applyAlignment="1">
      <alignment horizontal="center" vertical="center"/>
    </xf>
    <xf numFmtId="0" fontId="15" fillId="5" borderId="0" xfId="0" applyFont="1" applyFill="1" applyAlignment="1">
      <alignment horizontal="left" vertical="center" wrapText="1"/>
    </xf>
    <xf numFmtId="0" fontId="0" fillId="5" borderId="8" xfId="0" applyFill="1" applyBorder="1" applyAlignment="1">
      <alignment horizontal="center" vertical="center"/>
    </xf>
    <xf numFmtId="0" fontId="0" fillId="5" borderId="0" xfId="0" quotePrefix="1" applyFill="1" applyAlignment="1">
      <alignment horizontal="center" vertical="center"/>
    </xf>
    <xf numFmtId="0" fontId="15" fillId="8" borderId="0" xfId="0" quotePrefix="1" applyFont="1" applyFill="1" applyAlignment="1">
      <alignment horizontal="center" vertical="center"/>
    </xf>
    <xf numFmtId="0" fontId="71" fillId="4" borderId="4" xfId="0" applyFont="1" applyFill="1" applyBorder="1" applyAlignment="1" applyProtection="1">
      <alignment horizontal="center" vertical="center"/>
      <protection hidden="1"/>
    </xf>
    <xf numFmtId="0" fontId="71" fillId="4" borderId="15" xfId="0" applyFont="1" applyFill="1" applyBorder="1" applyAlignment="1" applyProtection="1">
      <alignment horizontal="center" vertical="center"/>
      <protection hidden="1"/>
    </xf>
    <xf numFmtId="0" fontId="71" fillId="4" borderId="5" xfId="0" applyFont="1" applyFill="1" applyBorder="1" applyAlignment="1" applyProtection="1">
      <alignment horizontal="center" vertical="center"/>
      <protection hidden="1"/>
    </xf>
    <xf numFmtId="0" fontId="0" fillId="5" borderId="0" xfId="0" applyFill="1" applyAlignment="1" applyProtection="1">
      <alignment horizontal="left" vertical="top"/>
      <protection hidden="1"/>
    </xf>
    <xf numFmtId="0" fontId="15" fillId="5" borderId="0" xfId="0" applyFont="1" applyFill="1" applyAlignment="1" applyProtection="1">
      <alignment horizontal="left" vertical="top"/>
      <protection hidden="1"/>
    </xf>
    <xf numFmtId="15" fontId="0" fillId="5" borderId="0" xfId="0" applyNumberFormat="1" applyFill="1" applyAlignment="1" applyProtection="1">
      <alignment horizontal="center" vertical="top"/>
      <protection hidden="1"/>
    </xf>
    <xf numFmtId="0" fontId="0" fillId="5" borderId="0" xfId="0" applyFill="1" applyAlignment="1" applyProtection="1">
      <alignment horizontal="left" vertical="top" wrapText="1"/>
      <protection hidden="1"/>
    </xf>
    <xf numFmtId="0" fontId="102" fillId="5" borderId="39" xfId="0" applyFont="1" applyFill="1" applyBorder="1" applyAlignment="1" applyProtection="1">
      <alignment horizontal="left" vertical="center"/>
      <protection hidden="1"/>
    </xf>
    <xf numFmtId="0" fontId="34" fillId="27" borderId="12" xfId="0" applyFont="1" applyFill="1" applyBorder="1" applyAlignment="1" applyProtection="1">
      <alignment horizontal="center" vertical="center" wrapText="1"/>
      <protection hidden="1"/>
    </xf>
    <xf numFmtId="0" fontId="34" fillId="27" borderId="44" xfId="0" applyFont="1" applyFill="1" applyBorder="1" applyAlignment="1" applyProtection="1">
      <alignment horizontal="center" vertical="center" wrapText="1"/>
      <protection hidden="1"/>
    </xf>
    <xf numFmtId="0" fontId="58" fillId="0" borderId="4" xfId="0" applyFont="1" applyFill="1" applyBorder="1" applyAlignment="1" applyProtection="1">
      <alignment horizontal="center" wrapText="1"/>
      <protection hidden="1"/>
    </xf>
    <xf numFmtId="0" fontId="58" fillId="0" borderId="15" xfId="0" applyFont="1" applyFill="1" applyBorder="1" applyAlignment="1" applyProtection="1">
      <alignment horizontal="center" wrapText="1"/>
      <protection hidden="1"/>
    </xf>
    <xf numFmtId="0" fontId="58" fillId="0" borderId="76" xfId="0" applyFont="1" applyFill="1" applyBorder="1" applyAlignment="1" applyProtection="1">
      <alignment horizontal="center" wrapText="1"/>
      <protection hidden="1"/>
    </xf>
    <xf numFmtId="186" fontId="109" fillId="27" borderId="12" xfId="0" applyNumberFormat="1" applyFont="1" applyFill="1" applyBorder="1" applyAlignment="1" applyProtection="1">
      <alignment horizontal="center" vertical="center" wrapText="1"/>
      <protection hidden="1"/>
    </xf>
    <xf numFmtId="186" fontId="109" fillId="27" borderId="44" xfId="0" applyNumberFormat="1" applyFont="1" applyFill="1" applyBorder="1" applyAlignment="1" applyProtection="1">
      <alignment horizontal="center" vertical="center" wrapText="1"/>
      <protection hidden="1"/>
    </xf>
    <xf numFmtId="186" fontId="34" fillId="3" borderId="11" xfId="0" applyNumberFormat="1" applyFont="1" applyFill="1" applyBorder="1" applyAlignment="1" applyProtection="1">
      <alignment horizontal="center" vertical="center"/>
      <protection hidden="1"/>
    </xf>
    <xf numFmtId="186" fontId="34" fillId="3" borderId="14" xfId="0" applyNumberFormat="1" applyFont="1" applyFill="1" applyBorder="1" applyAlignment="1" applyProtection="1">
      <alignment horizontal="center" vertical="center"/>
      <protection hidden="1"/>
    </xf>
    <xf numFmtId="186" fontId="34" fillId="3" borderId="60" xfId="0" applyNumberFormat="1" applyFont="1" applyFill="1" applyBorder="1" applyAlignment="1" applyProtection="1">
      <alignment horizontal="center" vertical="center"/>
      <protection hidden="1"/>
    </xf>
    <xf numFmtId="186" fontId="34" fillId="3" borderId="55" xfId="0" applyNumberFormat="1" applyFont="1" applyFill="1" applyBorder="1" applyAlignment="1" applyProtection="1">
      <alignment horizontal="center" vertical="center"/>
      <protection hidden="1"/>
    </xf>
    <xf numFmtId="0" fontId="34" fillId="14" borderId="48" xfId="0" applyFont="1" applyFill="1" applyBorder="1" applyAlignment="1" applyProtection="1">
      <alignment horizontal="center" vertical="center"/>
      <protection hidden="1"/>
    </xf>
    <xf numFmtId="0" fontId="34" fillId="14" borderId="54" xfId="0" applyFont="1" applyFill="1" applyBorder="1" applyAlignment="1" applyProtection="1">
      <alignment horizontal="center" vertical="center"/>
      <protection hidden="1"/>
    </xf>
    <xf numFmtId="0" fontId="34" fillId="14" borderId="60" xfId="0" applyFont="1" applyFill="1" applyBorder="1" applyAlignment="1" applyProtection="1">
      <alignment horizontal="center" vertical="center"/>
      <protection hidden="1"/>
    </xf>
    <xf numFmtId="0" fontId="34" fillId="14" borderId="55" xfId="0" applyFont="1" applyFill="1" applyBorder="1" applyAlignment="1" applyProtection="1">
      <alignment horizontal="center" vertical="center"/>
      <protection hidden="1"/>
    </xf>
    <xf numFmtId="0" fontId="19" fillId="5" borderId="0" xfId="0" applyFont="1" applyFill="1" applyAlignment="1" applyProtection="1">
      <alignment horizontal="center" vertical="top"/>
      <protection hidden="1"/>
    </xf>
    <xf numFmtId="0" fontId="34" fillId="0" borderId="8" xfId="0" applyFont="1" applyFill="1" applyBorder="1" applyAlignment="1" applyProtection="1">
      <alignment horizontal="center" vertical="center"/>
      <protection hidden="1"/>
    </xf>
    <xf numFmtId="0" fontId="20" fillId="0" borderId="8" xfId="0" applyFont="1" applyFill="1" applyBorder="1" applyAlignment="1" applyProtection="1">
      <alignment horizontal="left" vertical="center"/>
      <protection hidden="1"/>
    </xf>
    <xf numFmtId="0" fontId="61" fillId="0" borderId="8" xfId="0" applyFont="1" applyFill="1" applyBorder="1" applyAlignment="1" applyProtection="1">
      <alignment horizontal="left" vertical="center"/>
      <protection hidden="1"/>
    </xf>
    <xf numFmtId="0" fontId="61" fillId="0" borderId="18" xfId="0" applyFont="1" applyFill="1" applyBorder="1" applyAlignment="1" applyProtection="1">
      <alignment horizontal="left" vertical="center"/>
      <protection hidden="1"/>
    </xf>
    <xf numFmtId="0" fontId="16" fillId="11" borderId="8" xfId="0" applyFont="1" applyFill="1" applyBorder="1" applyAlignment="1" applyProtection="1">
      <alignment horizontal="center" vertical="center"/>
    </xf>
    <xf numFmtId="49" fontId="18" fillId="9" borderId="21" xfId="0" applyNumberFormat="1" applyFont="1" applyFill="1" applyBorder="1" applyAlignment="1" applyProtection="1">
      <alignment horizontal="center" vertical="center"/>
      <protection locked="0"/>
    </xf>
    <xf numFmtId="49" fontId="18" fillId="9" borderId="22" xfId="0" applyNumberFormat="1" applyFont="1" applyFill="1" applyBorder="1" applyAlignment="1" applyProtection="1">
      <alignment horizontal="center" vertical="center"/>
      <protection locked="0"/>
    </xf>
    <xf numFmtId="49" fontId="18" fillId="9" borderId="29" xfId="0" applyNumberFormat="1" applyFont="1" applyFill="1" applyBorder="1" applyAlignment="1" applyProtection="1">
      <alignment horizontal="center" vertical="center"/>
      <protection locked="0"/>
    </xf>
    <xf numFmtId="0" fontId="15" fillId="14" borderId="48" xfId="0" applyFont="1" applyFill="1" applyBorder="1" applyAlignment="1">
      <alignment horizontal="center" vertical="center"/>
    </xf>
    <xf numFmtId="0" fontId="15" fillId="14" borderId="50" xfId="0" applyFont="1" applyFill="1" applyBorder="1" applyAlignment="1">
      <alignment horizontal="center" vertical="center"/>
    </xf>
    <xf numFmtId="0" fontId="15" fillId="14" borderId="57" xfId="0" applyFont="1" applyFill="1" applyBorder="1" applyAlignment="1">
      <alignment horizontal="center" vertical="center"/>
    </xf>
    <xf numFmtId="0" fontId="111" fillId="3" borderId="33" xfId="0" applyFont="1" applyFill="1" applyBorder="1" applyAlignment="1" applyProtection="1">
      <alignment horizontal="center" vertical="center" wrapText="1"/>
      <protection locked="0"/>
    </xf>
    <xf numFmtId="0" fontId="111" fillId="3" borderId="25" xfId="0" applyFont="1" applyFill="1" applyBorder="1" applyAlignment="1" applyProtection="1">
      <alignment horizontal="center" vertical="center" wrapText="1"/>
      <protection locked="0"/>
    </xf>
    <xf numFmtId="0" fontId="111" fillId="3" borderId="23" xfId="0" applyFont="1" applyFill="1" applyBorder="1" applyAlignment="1" applyProtection="1">
      <alignment horizontal="center" vertical="center" wrapText="1"/>
      <protection locked="0"/>
    </xf>
    <xf numFmtId="0" fontId="37" fillId="14" borderId="21" xfId="0" applyFont="1" applyFill="1" applyBorder="1" applyAlignment="1">
      <alignment horizontal="left" vertical="center"/>
    </xf>
    <xf numFmtId="0" fontId="37" fillId="14" borderId="20" xfId="0" applyFont="1" applyFill="1" applyBorder="1" applyAlignment="1">
      <alignment horizontal="left" vertical="center"/>
    </xf>
    <xf numFmtId="0" fontId="18" fillId="9" borderId="21" xfId="0" applyNumberFormat="1" applyFont="1" applyFill="1" applyBorder="1" applyAlignment="1" applyProtection="1">
      <alignment horizontal="center" vertical="center"/>
      <protection locked="0"/>
    </xf>
    <xf numFmtId="0" fontId="18" fillId="9" borderId="22" xfId="0" applyNumberFormat="1" applyFont="1" applyFill="1" applyBorder="1" applyAlignment="1" applyProtection="1">
      <alignment horizontal="center" vertical="center"/>
      <protection locked="0"/>
    </xf>
    <xf numFmtId="0" fontId="18" fillId="9" borderId="20" xfId="0" applyNumberFormat="1" applyFont="1" applyFill="1" applyBorder="1" applyAlignment="1" applyProtection="1">
      <alignment horizontal="center" vertical="center"/>
      <protection locked="0"/>
    </xf>
    <xf numFmtId="0" fontId="18" fillId="9" borderId="29" xfId="0" applyNumberFormat="1" applyFont="1" applyFill="1" applyBorder="1" applyAlignment="1" applyProtection="1">
      <alignment horizontal="center" vertical="center"/>
      <protection locked="0"/>
    </xf>
    <xf numFmtId="0" fontId="18" fillId="10" borderId="21" xfId="0" applyFont="1" applyFill="1" applyBorder="1" applyAlignment="1" applyProtection="1">
      <alignment horizontal="center" vertical="center"/>
      <protection locked="0"/>
    </xf>
    <xf numFmtId="0" fontId="18" fillId="10" borderId="22" xfId="0" applyFont="1" applyFill="1" applyBorder="1" applyAlignment="1" applyProtection="1">
      <alignment horizontal="center" vertical="center"/>
      <protection locked="0"/>
    </xf>
    <xf numFmtId="0" fontId="18" fillId="10" borderId="29" xfId="0" applyFont="1" applyFill="1" applyBorder="1" applyAlignment="1" applyProtection="1">
      <alignment horizontal="center" vertical="center"/>
      <protection locked="0"/>
    </xf>
    <xf numFmtId="176" fontId="15" fillId="3" borderId="21" xfId="0" applyNumberFormat="1" applyFont="1" applyFill="1" applyBorder="1" applyAlignment="1" applyProtection="1">
      <alignment horizontal="center" vertical="center"/>
      <protection locked="0"/>
    </xf>
    <xf numFmtId="176" fontId="15" fillId="3" borderId="20" xfId="0" applyNumberFormat="1" applyFont="1" applyFill="1" applyBorder="1" applyAlignment="1" applyProtection="1">
      <alignment horizontal="center" vertical="center"/>
      <protection locked="0"/>
    </xf>
    <xf numFmtId="0" fontId="20" fillId="3" borderId="21" xfId="0" applyFont="1" applyFill="1" applyBorder="1" applyAlignment="1" applyProtection="1">
      <alignment horizontal="center" vertical="center"/>
      <protection locked="0"/>
    </xf>
    <xf numFmtId="0" fontId="20" fillId="3" borderId="20" xfId="0" applyFont="1" applyFill="1" applyBorder="1" applyAlignment="1" applyProtection="1">
      <alignment horizontal="center" vertical="center"/>
      <protection locked="0"/>
    </xf>
    <xf numFmtId="0" fontId="15" fillId="3" borderId="21" xfId="0" applyFont="1" applyFill="1" applyBorder="1" applyAlignment="1" applyProtection="1">
      <alignment horizontal="center" vertical="center"/>
      <protection locked="0"/>
    </xf>
    <xf numFmtId="0" fontId="15" fillId="3" borderId="20" xfId="0" applyFont="1" applyFill="1" applyBorder="1" applyAlignment="1" applyProtection="1">
      <alignment horizontal="center" vertical="center"/>
      <protection locked="0"/>
    </xf>
    <xf numFmtId="0" fontId="100" fillId="26" borderId="21" xfId="0" applyFont="1" applyFill="1" applyBorder="1" applyAlignment="1" applyProtection="1">
      <alignment horizontal="center" vertical="center"/>
      <protection locked="0"/>
    </xf>
    <xf numFmtId="0" fontId="100" fillId="26" borderId="22" xfId="0" applyFont="1" applyFill="1" applyBorder="1" applyAlignment="1" applyProtection="1">
      <alignment horizontal="center" vertical="center"/>
      <protection locked="0"/>
    </xf>
    <xf numFmtId="186" fontId="18" fillId="9" borderId="8" xfId="0" applyNumberFormat="1" applyFont="1" applyFill="1" applyBorder="1" applyAlignment="1" applyProtection="1">
      <alignment horizontal="center" vertical="center"/>
      <protection locked="0"/>
    </xf>
    <xf numFmtId="168" fontId="56" fillId="9" borderId="8" xfId="0" applyNumberFormat="1" applyFont="1" applyFill="1" applyBorder="1" applyAlignment="1" applyProtection="1">
      <alignment horizontal="center" vertical="center" wrapText="1"/>
      <protection locked="0"/>
    </xf>
    <xf numFmtId="0" fontId="18" fillId="9" borderId="21" xfId="0" applyFont="1" applyFill="1" applyBorder="1" applyAlignment="1" applyProtection="1">
      <alignment horizontal="left" vertical="center" wrapText="1"/>
      <protection hidden="1"/>
    </xf>
    <xf numFmtId="0" fontId="18" fillId="9" borderId="22" xfId="0" applyFont="1" applyFill="1" applyBorder="1" applyAlignment="1" applyProtection="1">
      <alignment horizontal="left" vertical="center" wrapText="1"/>
      <protection hidden="1"/>
    </xf>
    <xf numFmtId="0" fontId="18" fillId="9" borderId="20" xfId="0" applyFont="1" applyFill="1" applyBorder="1" applyAlignment="1" applyProtection="1">
      <alignment horizontal="left" vertical="center" wrapText="1"/>
      <protection hidden="1"/>
    </xf>
    <xf numFmtId="0" fontId="18" fillId="9" borderId="21" xfId="0" applyFont="1" applyFill="1" applyBorder="1" applyAlignment="1" applyProtection="1">
      <alignment horizontal="left" vertical="center"/>
      <protection hidden="1"/>
    </xf>
    <xf numFmtId="0" fontId="18" fillId="9" borderId="22" xfId="0" applyFont="1" applyFill="1" applyBorder="1" applyAlignment="1" applyProtection="1">
      <alignment horizontal="left" vertical="center"/>
      <protection hidden="1"/>
    </xf>
    <xf numFmtId="0" fontId="18" fillId="9" borderId="20" xfId="0" applyFont="1" applyFill="1" applyBorder="1" applyAlignment="1" applyProtection="1">
      <alignment horizontal="left" vertical="center"/>
      <protection hidden="1"/>
    </xf>
    <xf numFmtId="183" fontId="46" fillId="9" borderId="8" xfId="2" applyNumberFormat="1" applyFont="1" applyFill="1" applyBorder="1" applyAlignment="1" applyProtection="1">
      <alignment horizontal="left" vertical="center" wrapText="1"/>
      <protection locked="0"/>
    </xf>
    <xf numFmtId="0" fontId="16" fillId="11" borderId="21" xfId="0" applyFont="1" applyFill="1" applyBorder="1" applyAlignment="1">
      <alignment horizontal="center" vertical="center"/>
    </xf>
    <xf numFmtId="0" fontId="16" fillId="11" borderId="22" xfId="0" applyFont="1" applyFill="1" applyBorder="1" applyAlignment="1">
      <alignment horizontal="center" vertical="center"/>
    </xf>
    <xf numFmtId="0" fontId="16" fillId="11" borderId="20" xfId="0" applyFont="1" applyFill="1" applyBorder="1" applyAlignment="1">
      <alignment horizontal="center" vertical="center"/>
    </xf>
    <xf numFmtId="0" fontId="16" fillId="11" borderId="33" xfId="0" applyFont="1" applyFill="1" applyBorder="1" applyAlignment="1">
      <alignment horizontal="center" vertical="center"/>
    </xf>
    <xf numFmtId="0" fontId="16" fillId="11" borderId="25" xfId="0" applyFont="1" applyFill="1" applyBorder="1" applyAlignment="1">
      <alignment horizontal="center" vertical="center"/>
    </xf>
    <xf numFmtId="0" fontId="16" fillId="11" borderId="23" xfId="0" applyFont="1" applyFill="1" applyBorder="1" applyAlignment="1">
      <alignment horizontal="center" vertical="center"/>
    </xf>
    <xf numFmtId="0" fontId="21" fillId="28" borderId="11" xfId="0" applyFont="1" applyFill="1" applyBorder="1" applyAlignment="1">
      <alignment horizontal="left" vertical="center" wrapText="1"/>
    </xf>
    <xf numFmtId="0" fontId="21" fillId="28" borderId="13" xfId="0" applyFont="1" applyFill="1" applyBorder="1" applyAlignment="1">
      <alignment horizontal="left" vertical="center" wrapText="1"/>
    </xf>
    <xf numFmtId="0" fontId="21" fillId="28" borderId="14" xfId="0" applyFont="1" applyFill="1" applyBorder="1" applyAlignment="1">
      <alignment horizontal="left" vertical="center" wrapText="1"/>
    </xf>
    <xf numFmtId="0" fontId="21" fillId="28" borderId="24" xfId="0" applyFont="1" applyFill="1" applyBorder="1" applyAlignment="1">
      <alignment horizontal="left" vertical="center" wrapText="1"/>
    </xf>
    <xf numFmtId="0" fontId="21" fillId="28" borderId="0" xfId="0" applyFont="1" applyFill="1" applyBorder="1" applyAlignment="1">
      <alignment horizontal="left" vertical="center" wrapText="1"/>
    </xf>
    <xf numFmtId="0" fontId="21" fillId="28" borderId="2" xfId="0" applyFont="1" applyFill="1" applyBorder="1" applyAlignment="1">
      <alignment horizontal="left" vertical="center" wrapText="1"/>
    </xf>
    <xf numFmtId="0" fontId="21" fillId="28" borderId="36" xfId="0" applyFont="1" applyFill="1" applyBorder="1" applyAlignment="1">
      <alignment horizontal="left" vertical="center" wrapText="1"/>
    </xf>
    <xf numFmtId="0" fontId="21" fillId="28" borderId="10" xfId="0" applyFont="1" applyFill="1" applyBorder="1" applyAlignment="1">
      <alignment horizontal="left" vertical="center" wrapText="1"/>
    </xf>
    <xf numFmtId="0" fontId="21" fillId="28" borderId="37" xfId="0" applyFont="1" applyFill="1" applyBorder="1" applyAlignment="1">
      <alignment horizontal="left" vertical="center" wrapText="1"/>
    </xf>
    <xf numFmtId="0" fontId="83" fillId="0" borderId="0" xfId="0" applyFont="1" applyFill="1" applyAlignment="1">
      <alignment horizontal="center" vertical="center"/>
    </xf>
    <xf numFmtId="0" fontId="41" fillId="3" borderId="16" xfId="0" applyFont="1" applyFill="1" applyBorder="1" applyAlignment="1" applyProtection="1">
      <alignment horizontal="center" vertical="center" wrapText="1"/>
      <protection locked="0"/>
    </xf>
    <xf numFmtId="0" fontId="41" fillId="3" borderId="39" xfId="0" applyFont="1" applyFill="1" applyBorder="1" applyAlignment="1" applyProtection="1">
      <alignment horizontal="center" vertical="center" wrapText="1"/>
      <protection locked="0"/>
    </xf>
    <xf numFmtId="0" fontId="41" fillId="3" borderId="40" xfId="0" applyFont="1" applyFill="1" applyBorder="1" applyAlignment="1" applyProtection="1">
      <alignment horizontal="center" vertical="center" wrapText="1"/>
      <protection locked="0"/>
    </xf>
    <xf numFmtId="0" fontId="15" fillId="14" borderId="24" xfId="0" applyFont="1" applyFill="1" applyBorder="1" applyAlignment="1" applyProtection="1">
      <alignment horizontal="center" vertical="center"/>
      <protection hidden="1"/>
    </xf>
    <xf numFmtId="0" fontId="15" fillId="14" borderId="0" xfId="0" applyFont="1" applyFill="1" applyBorder="1" applyAlignment="1" applyProtection="1">
      <alignment horizontal="center" vertical="center"/>
      <protection hidden="1"/>
    </xf>
    <xf numFmtId="0" fontId="15" fillId="14" borderId="38" xfId="0" applyFont="1" applyFill="1" applyBorder="1" applyAlignment="1" applyProtection="1">
      <alignment horizontal="center" vertical="center"/>
      <protection hidden="1"/>
    </xf>
    <xf numFmtId="0" fontId="18" fillId="0" borderId="21" xfId="0" applyFont="1" applyFill="1" applyBorder="1" applyAlignment="1">
      <alignment horizontal="center" vertical="center"/>
    </xf>
    <xf numFmtId="0" fontId="18" fillId="0" borderId="20" xfId="0" applyFont="1" applyFill="1" applyBorder="1" applyAlignment="1">
      <alignment horizontal="center" vertical="center"/>
    </xf>
    <xf numFmtId="0" fontId="136" fillId="5" borderId="48" xfId="0" applyFont="1" applyFill="1" applyBorder="1" applyAlignment="1">
      <alignment horizontal="center" vertical="center"/>
    </xf>
    <xf numFmtId="0" fontId="136" fillId="5" borderId="50" xfId="0" applyFont="1" applyFill="1" applyBorder="1" applyAlignment="1">
      <alignment horizontal="center" vertical="center"/>
    </xf>
    <xf numFmtId="0" fontId="136" fillId="5" borderId="57" xfId="0" applyFont="1" applyFill="1" applyBorder="1" applyAlignment="1">
      <alignment horizontal="center" vertical="center"/>
    </xf>
    <xf numFmtId="0" fontId="137" fillId="5" borderId="48" xfId="0" applyFont="1" applyFill="1" applyBorder="1" applyAlignment="1">
      <alignment horizontal="center" vertical="center"/>
    </xf>
    <xf numFmtId="0" fontId="137" fillId="5" borderId="50" xfId="0" applyFont="1" applyFill="1" applyBorder="1" applyAlignment="1">
      <alignment horizontal="center" vertical="center"/>
    </xf>
    <xf numFmtId="0" fontId="137" fillId="5" borderId="57" xfId="0" applyFont="1" applyFill="1" applyBorder="1" applyAlignment="1">
      <alignment horizontal="center" vertical="center"/>
    </xf>
    <xf numFmtId="0" fontId="18" fillId="9" borderId="21" xfId="0" applyFont="1" applyFill="1" applyBorder="1" applyAlignment="1" applyProtection="1">
      <alignment horizontal="left" vertical="center"/>
      <protection locked="0"/>
    </xf>
    <xf numFmtId="0" fontId="18" fillId="9" borderId="22" xfId="0" applyFont="1" applyFill="1" applyBorder="1" applyAlignment="1" applyProtection="1">
      <alignment horizontal="left" vertical="center"/>
      <protection locked="0"/>
    </xf>
    <xf numFmtId="0" fontId="18" fillId="9" borderId="20" xfId="0" applyFont="1" applyFill="1" applyBorder="1" applyAlignment="1" applyProtection="1">
      <alignment horizontal="left" vertical="center"/>
      <protection locked="0"/>
    </xf>
    <xf numFmtId="0" fontId="18" fillId="9" borderId="21" xfId="0" applyFont="1" applyFill="1" applyBorder="1" applyAlignment="1" applyProtection="1">
      <alignment horizontal="center" vertical="center"/>
      <protection locked="0"/>
    </xf>
    <xf numFmtId="0" fontId="18" fillId="9" borderId="20" xfId="0" applyFont="1" applyFill="1" applyBorder="1" applyAlignment="1" applyProtection="1">
      <alignment horizontal="center" vertical="center"/>
      <protection locked="0"/>
    </xf>
    <xf numFmtId="0" fontId="11" fillId="10" borderId="8" xfId="0" applyFont="1" applyFill="1" applyBorder="1" applyAlignment="1" applyProtection="1">
      <alignment horizontal="center" vertical="center"/>
      <protection locked="0"/>
    </xf>
    <xf numFmtId="175" fontId="13" fillId="0" borderId="22" xfId="0" applyNumberFormat="1" applyFont="1" applyFill="1" applyBorder="1" applyAlignment="1" applyProtection="1">
      <alignment horizontal="center" vertical="center"/>
      <protection locked="0" hidden="1"/>
    </xf>
    <xf numFmtId="175" fontId="13" fillId="0" borderId="20" xfId="0" applyNumberFormat="1" applyFont="1" applyFill="1" applyBorder="1" applyAlignment="1" applyProtection="1">
      <alignment horizontal="center" vertical="center"/>
      <protection locked="0" hidden="1"/>
    </xf>
    <xf numFmtId="0" fontId="18" fillId="9" borderId="8" xfId="0" applyFont="1" applyFill="1" applyBorder="1" applyAlignment="1" applyProtection="1">
      <alignment horizontal="left" vertical="center"/>
      <protection locked="0"/>
    </xf>
    <xf numFmtId="185" fontId="18" fillId="9" borderId="21" xfId="0" applyNumberFormat="1" applyFont="1" applyFill="1" applyBorder="1" applyAlignment="1" applyProtection="1">
      <alignment horizontal="left" vertical="center"/>
      <protection locked="0"/>
    </xf>
    <xf numFmtId="185" fontId="18" fillId="9" borderId="22" xfId="0" applyNumberFormat="1" applyFont="1" applyFill="1" applyBorder="1" applyAlignment="1" applyProtection="1">
      <alignment horizontal="left" vertical="center"/>
      <protection locked="0"/>
    </xf>
    <xf numFmtId="185" fontId="18" fillId="9" borderId="20" xfId="0" applyNumberFormat="1" applyFont="1" applyFill="1" applyBorder="1" applyAlignment="1" applyProtection="1">
      <alignment horizontal="left" vertical="center"/>
      <protection locked="0"/>
    </xf>
    <xf numFmtId="185" fontId="18" fillId="9" borderId="8" xfId="0" applyNumberFormat="1" applyFont="1" applyFill="1" applyBorder="1" applyAlignment="1" applyProtection="1">
      <alignment horizontal="left" vertical="center"/>
      <protection locked="0"/>
    </xf>
    <xf numFmtId="0" fontId="0" fillId="9" borderId="39" xfId="0" applyFill="1" applyBorder="1" applyAlignment="1">
      <alignment horizontal="center" vertical="center"/>
    </xf>
    <xf numFmtId="0" fontId="15" fillId="0" borderId="21" xfId="0" applyFont="1" applyBorder="1" applyAlignment="1">
      <alignment horizontal="center" vertical="center"/>
    </xf>
    <xf numFmtId="0" fontId="15" fillId="0" borderId="20" xfId="0" applyFont="1" applyBorder="1" applyAlignment="1">
      <alignment horizontal="center" vertical="center"/>
    </xf>
    <xf numFmtId="0" fontId="15" fillId="0" borderId="4" xfId="0" applyFont="1" applyBorder="1" applyAlignment="1">
      <alignment horizontal="center" vertical="center"/>
    </xf>
    <xf numFmtId="0" fontId="15" fillId="0" borderId="15" xfId="0" applyFont="1" applyBorder="1" applyAlignment="1">
      <alignment horizontal="center" vertical="center"/>
    </xf>
    <xf numFmtId="0" fontId="15" fillId="0" borderId="5" xfId="0" applyFont="1" applyBorder="1" applyAlignment="1">
      <alignment horizontal="center" vertical="center"/>
    </xf>
    <xf numFmtId="176" fontId="18" fillId="9" borderId="8" xfId="0" applyNumberFormat="1" applyFont="1" applyFill="1" applyBorder="1" applyAlignment="1" applyProtection="1">
      <alignment horizontal="left" vertical="center"/>
      <protection locked="0"/>
    </xf>
    <xf numFmtId="0" fontId="15" fillId="0" borderId="18" xfId="0" applyFont="1" applyBorder="1" applyAlignment="1" applyProtection="1">
      <alignment horizontal="left" vertical="center" wrapText="1"/>
    </xf>
    <xf numFmtId="0" fontId="0" fillId="0" borderId="17" xfId="0" applyBorder="1" applyAlignment="1">
      <alignment horizontal="left" vertical="center" wrapText="1"/>
    </xf>
    <xf numFmtId="0" fontId="14" fillId="9" borderId="21" xfId="2" applyFill="1" applyBorder="1" applyAlignment="1" applyProtection="1">
      <alignment horizontal="left" vertical="center" wrapText="1"/>
      <protection hidden="1"/>
    </xf>
    <xf numFmtId="0" fontId="14" fillId="9" borderId="22" xfId="2" applyFill="1" applyBorder="1" applyAlignment="1" applyProtection="1">
      <alignment horizontal="left" vertical="center" wrapText="1"/>
      <protection hidden="1"/>
    </xf>
    <xf numFmtId="0" fontId="14" fillId="9" borderId="20" xfId="2" applyFill="1" applyBorder="1" applyAlignment="1" applyProtection="1">
      <alignment horizontal="left" vertical="center" wrapText="1"/>
      <protection hidden="1"/>
    </xf>
    <xf numFmtId="0" fontId="46" fillId="9" borderId="21" xfId="2" applyFont="1" applyFill="1" applyBorder="1" applyAlignment="1" applyProtection="1">
      <alignment horizontal="left" vertical="center" wrapText="1"/>
      <protection hidden="1"/>
    </xf>
    <xf numFmtId="0" fontId="46" fillId="9" borderId="22" xfId="2" applyFont="1" applyFill="1" applyBorder="1" applyAlignment="1" applyProtection="1">
      <alignment horizontal="left" vertical="center" wrapText="1"/>
      <protection hidden="1"/>
    </xf>
    <xf numFmtId="0" fontId="46" fillId="9" borderId="20" xfId="2" applyFont="1" applyFill="1" applyBorder="1" applyAlignment="1" applyProtection="1">
      <alignment horizontal="left" vertical="center" wrapText="1"/>
      <protection hidden="1"/>
    </xf>
    <xf numFmtId="0" fontId="16" fillId="11" borderId="33" xfId="0" applyFont="1" applyFill="1" applyBorder="1" applyAlignment="1">
      <alignment horizontal="left" vertical="center"/>
    </xf>
    <xf numFmtId="0" fontId="16" fillId="11" borderId="25" xfId="0" applyFont="1" applyFill="1" applyBorder="1" applyAlignment="1">
      <alignment horizontal="left" vertical="center"/>
    </xf>
    <xf numFmtId="0" fontId="16" fillId="11" borderId="23" xfId="0" applyFont="1" applyFill="1" applyBorder="1" applyAlignment="1">
      <alignment horizontal="left" vertical="center"/>
    </xf>
    <xf numFmtId="0" fontId="21" fillId="0" borderId="32" xfId="0" applyFont="1" applyBorder="1" applyAlignment="1">
      <alignment horizontal="left" vertical="center"/>
    </xf>
    <xf numFmtId="0" fontId="21" fillId="0" borderId="0" xfId="0" applyFont="1" applyBorder="1" applyAlignment="1">
      <alignment horizontal="left" vertical="center"/>
    </xf>
    <xf numFmtId="0" fontId="21" fillId="0" borderId="38" xfId="0" applyFont="1" applyBorder="1" applyAlignment="1">
      <alignment horizontal="left" vertical="center"/>
    </xf>
    <xf numFmtId="0" fontId="79" fillId="0" borderId="0" xfId="0" applyFont="1" applyFill="1" applyAlignment="1">
      <alignment horizontal="left" vertical="center" wrapText="1"/>
    </xf>
    <xf numFmtId="0" fontId="18" fillId="9" borderId="8" xfId="0" applyFont="1" applyFill="1" applyBorder="1" applyAlignment="1" applyProtection="1">
      <alignment horizontal="left" vertical="center" wrapText="1"/>
      <protection hidden="1"/>
    </xf>
    <xf numFmtId="0" fontId="18" fillId="9" borderId="25" xfId="0" applyFont="1" applyFill="1" applyBorder="1" applyAlignment="1">
      <alignment horizontal="center" vertical="center"/>
    </xf>
    <xf numFmtId="167" fontId="46" fillId="9" borderId="21" xfId="2" applyNumberFormat="1" applyFont="1" applyFill="1" applyBorder="1" applyAlignment="1" applyProtection="1">
      <alignment horizontal="left" vertical="center" wrapText="1"/>
      <protection hidden="1"/>
    </xf>
    <xf numFmtId="167" fontId="46" fillId="9" borderId="22" xfId="2" applyNumberFormat="1" applyFont="1" applyFill="1" applyBorder="1" applyAlignment="1" applyProtection="1">
      <alignment horizontal="left" vertical="center" wrapText="1"/>
      <protection hidden="1"/>
    </xf>
    <xf numFmtId="167" fontId="46" fillId="9" borderId="20" xfId="2" applyNumberFormat="1" applyFont="1" applyFill="1" applyBorder="1" applyAlignment="1" applyProtection="1">
      <alignment horizontal="left" vertical="center" wrapText="1"/>
      <protection hidden="1"/>
    </xf>
    <xf numFmtId="0" fontId="21" fillId="0" borderId="0" xfId="0" applyFont="1" applyBorder="1" applyAlignment="1">
      <alignment horizontal="center" vertical="center" wrapText="1"/>
    </xf>
    <xf numFmtId="0" fontId="13" fillId="19" borderId="39" xfId="0" applyFont="1" applyFill="1" applyBorder="1" applyAlignment="1">
      <alignment horizontal="center" vertical="center"/>
    </xf>
    <xf numFmtId="14" fontId="18" fillId="9" borderId="21" xfId="0" applyNumberFormat="1" applyFont="1" applyFill="1" applyBorder="1" applyAlignment="1" applyProtection="1">
      <alignment horizontal="left" vertical="center"/>
      <protection locked="0"/>
    </xf>
    <xf numFmtId="1" fontId="18" fillId="9" borderId="21" xfId="0" applyNumberFormat="1" applyFont="1" applyFill="1" applyBorder="1" applyAlignment="1" applyProtection="1">
      <alignment horizontal="left" vertical="center"/>
      <protection hidden="1"/>
    </xf>
    <xf numFmtId="1" fontId="18" fillId="9" borderId="22" xfId="0" applyNumberFormat="1" applyFont="1" applyFill="1" applyBorder="1" applyAlignment="1" applyProtection="1">
      <alignment horizontal="left" vertical="center"/>
      <protection hidden="1"/>
    </xf>
    <xf numFmtId="1" fontId="18" fillId="9" borderId="20" xfId="0" applyNumberFormat="1" applyFont="1" applyFill="1" applyBorder="1" applyAlignment="1" applyProtection="1">
      <alignment horizontal="left" vertical="center"/>
      <protection hidden="1"/>
    </xf>
    <xf numFmtId="168" fontId="18" fillId="7" borderId="21" xfId="0" applyNumberFormat="1" applyFont="1" applyFill="1" applyBorder="1" applyAlignment="1" applyProtection="1">
      <alignment horizontal="center" vertical="center"/>
      <protection hidden="1"/>
    </xf>
    <xf numFmtId="168" fontId="18" fillId="7" borderId="22" xfId="0" applyNumberFormat="1" applyFont="1" applyFill="1" applyBorder="1" applyAlignment="1" applyProtection="1">
      <alignment horizontal="center" vertical="center"/>
      <protection hidden="1"/>
    </xf>
    <xf numFmtId="168" fontId="18" fillId="7" borderId="20" xfId="0" applyNumberFormat="1" applyFont="1" applyFill="1" applyBorder="1" applyAlignment="1" applyProtection="1">
      <alignment horizontal="center" vertical="center"/>
      <protection hidden="1"/>
    </xf>
    <xf numFmtId="43" fontId="4" fillId="9" borderId="18" xfId="1" applyFont="1" applyFill="1" applyBorder="1" applyAlignment="1" applyProtection="1">
      <alignment horizontal="left" vertical="center"/>
      <protection locked="0"/>
    </xf>
    <xf numFmtId="0" fontId="34" fillId="9" borderId="33" xfId="0" applyFont="1" applyFill="1" applyBorder="1" applyAlignment="1" applyProtection="1">
      <alignment horizontal="left" vertical="center" wrapText="1"/>
      <protection hidden="1"/>
    </xf>
    <xf numFmtId="0" fontId="34" fillId="9" borderId="25" xfId="0" applyFont="1" applyFill="1" applyBorder="1" applyAlignment="1" applyProtection="1">
      <alignment horizontal="left" vertical="center" wrapText="1"/>
      <protection hidden="1"/>
    </xf>
    <xf numFmtId="0" fontId="34" fillId="9" borderId="23" xfId="0" applyFont="1" applyFill="1" applyBorder="1" applyAlignment="1" applyProtection="1">
      <alignment horizontal="left" vertical="center" wrapText="1"/>
      <protection hidden="1"/>
    </xf>
    <xf numFmtId="0" fontId="34" fillId="9" borderId="16" xfId="0" applyFont="1" applyFill="1" applyBorder="1" applyAlignment="1" applyProtection="1">
      <alignment horizontal="left" vertical="center" wrapText="1"/>
      <protection hidden="1"/>
    </xf>
    <xf numFmtId="0" fontId="34" fillId="9" borderId="39" xfId="0" applyFont="1" applyFill="1" applyBorder="1" applyAlignment="1" applyProtection="1">
      <alignment horizontal="left" vertical="center" wrapText="1"/>
      <protection hidden="1"/>
    </xf>
    <xf numFmtId="0" fontId="34" fillId="9" borderId="40" xfId="0" applyFont="1" applyFill="1" applyBorder="1" applyAlignment="1" applyProtection="1">
      <alignment horizontal="left" vertical="center" wrapText="1"/>
      <protection hidden="1"/>
    </xf>
    <xf numFmtId="0" fontId="23" fillId="0" borderId="35" xfId="0" applyFont="1" applyBorder="1" applyAlignment="1" applyProtection="1">
      <alignment horizontal="left" vertical="center"/>
    </xf>
    <xf numFmtId="0" fontId="23" fillId="0" borderId="51" xfId="0" applyFont="1" applyBorder="1" applyAlignment="1" applyProtection="1">
      <alignment horizontal="left" vertical="center"/>
    </xf>
    <xf numFmtId="0" fontId="23" fillId="0" borderId="19" xfId="0" applyFont="1" applyBorder="1" applyAlignment="1" applyProtection="1">
      <alignment horizontal="left" vertical="center"/>
    </xf>
    <xf numFmtId="0" fontId="30" fillId="16" borderId="11" xfId="0" applyNumberFormat="1" applyFont="1" applyFill="1" applyBorder="1" applyAlignment="1" applyProtection="1">
      <alignment horizontal="center" vertical="center" wrapText="1"/>
      <protection locked="0"/>
    </xf>
    <xf numFmtId="0" fontId="30" fillId="16" borderId="13" xfId="0" applyNumberFormat="1" applyFont="1" applyFill="1" applyBorder="1" applyAlignment="1" applyProtection="1">
      <alignment horizontal="center" vertical="center" wrapText="1"/>
      <protection locked="0"/>
    </xf>
    <xf numFmtId="0" fontId="30" fillId="16" borderId="14" xfId="0" applyNumberFormat="1" applyFont="1" applyFill="1" applyBorder="1" applyAlignment="1" applyProtection="1">
      <alignment horizontal="center" vertical="center" wrapText="1"/>
      <protection locked="0"/>
    </xf>
    <xf numFmtId="0" fontId="30" fillId="16" borderId="24" xfId="0" applyNumberFormat="1" applyFont="1" applyFill="1" applyBorder="1" applyAlignment="1" applyProtection="1">
      <alignment horizontal="center" vertical="center" wrapText="1"/>
      <protection locked="0"/>
    </xf>
    <xf numFmtId="0" fontId="30" fillId="16" borderId="0" xfId="0" applyNumberFormat="1" applyFont="1" applyFill="1" applyBorder="1" applyAlignment="1" applyProtection="1">
      <alignment horizontal="center" vertical="center" wrapText="1"/>
      <protection locked="0"/>
    </xf>
    <xf numFmtId="0" fontId="30" fillId="16" borderId="2" xfId="0" applyNumberFormat="1" applyFont="1" applyFill="1" applyBorder="1" applyAlignment="1" applyProtection="1">
      <alignment horizontal="center" vertical="center" wrapText="1"/>
      <protection locked="0"/>
    </xf>
    <xf numFmtId="0" fontId="30" fillId="16" borderId="36" xfId="0" applyNumberFormat="1" applyFont="1" applyFill="1" applyBorder="1" applyAlignment="1" applyProtection="1">
      <alignment horizontal="center" vertical="center" wrapText="1"/>
      <protection locked="0"/>
    </xf>
    <xf numFmtId="0" fontId="30" fillId="16" borderId="10" xfId="0" applyNumberFormat="1" applyFont="1" applyFill="1" applyBorder="1" applyAlignment="1" applyProtection="1">
      <alignment horizontal="center" vertical="center" wrapText="1"/>
      <protection locked="0"/>
    </xf>
    <xf numFmtId="0" fontId="30" fillId="16" borderId="37" xfId="0" applyNumberFormat="1" applyFont="1" applyFill="1" applyBorder="1" applyAlignment="1" applyProtection="1">
      <alignment horizontal="center" vertical="center" wrapText="1"/>
      <protection locked="0"/>
    </xf>
    <xf numFmtId="14" fontId="18" fillId="9" borderId="8" xfId="0" applyNumberFormat="1" applyFont="1" applyFill="1" applyBorder="1" applyAlignment="1" applyProtection="1">
      <alignment horizontal="left" vertical="center"/>
      <protection locked="0"/>
    </xf>
    <xf numFmtId="167" fontId="18" fillId="9" borderId="8" xfId="0" applyNumberFormat="1" applyFont="1" applyFill="1" applyBorder="1" applyAlignment="1" applyProtection="1">
      <alignment horizontal="center" vertical="center"/>
      <protection locked="0"/>
    </xf>
    <xf numFmtId="170" fontId="18" fillId="16" borderId="8" xfId="0" applyNumberFormat="1" applyFont="1" applyFill="1" applyBorder="1" applyAlignment="1" applyProtection="1">
      <alignment horizontal="center" vertical="center"/>
      <protection locked="0"/>
    </xf>
    <xf numFmtId="0" fontId="20" fillId="10" borderId="16" xfId="0" applyNumberFormat="1" applyFont="1" applyFill="1" applyBorder="1" applyAlignment="1" applyProtection="1">
      <alignment horizontal="center" vertical="center" wrapText="1"/>
      <protection locked="0"/>
    </xf>
    <xf numFmtId="0" fontId="20" fillId="10" borderId="39" xfId="0" applyNumberFormat="1" applyFont="1" applyFill="1" applyBorder="1" applyAlignment="1" applyProtection="1">
      <alignment horizontal="center" vertical="center" wrapText="1"/>
      <protection locked="0"/>
    </xf>
    <xf numFmtId="0" fontId="20" fillId="10" borderId="40" xfId="0" applyNumberFormat="1" applyFont="1" applyFill="1" applyBorder="1" applyAlignment="1" applyProtection="1">
      <alignment horizontal="center" vertical="center" wrapText="1"/>
      <protection locked="0"/>
    </xf>
    <xf numFmtId="166" fontId="15" fillId="0" borderId="33" xfId="0" applyNumberFormat="1" applyFont="1" applyBorder="1" applyAlignment="1" applyProtection="1">
      <alignment horizontal="center" vertical="center"/>
    </xf>
    <xf numFmtId="166" fontId="15" fillId="0" borderId="23" xfId="0" applyNumberFormat="1" applyFont="1" applyBorder="1" applyAlignment="1" applyProtection="1">
      <alignment horizontal="center" vertical="center"/>
    </xf>
    <xf numFmtId="0" fontId="71" fillId="20" borderId="21" xfId="0" applyFont="1" applyFill="1" applyBorder="1" applyAlignment="1">
      <alignment horizontal="center" vertical="center"/>
    </xf>
    <xf numFmtId="0" fontId="71" fillId="20" borderId="22" xfId="0" applyFont="1" applyFill="1" applyBorder="1" applyAlignment="1">
      <alignment horizontal="center" vertical="center"/>
    </xf>
    <xf numFmtId="0" fontId="71" fillId="20" borderId="20" xfId="0" applyFont="1" applyFill="1" applyBorder="1" applyAlignment="1">
      <alignment horizontal="center" vertical="center"/>
    </xf>
    <xf numFmtId="0" fontId="50" fillId="12" borderId="0" xfId="0" applyFont="1" applyFill="1" applyBorder="1" applyAlignment="1" applyProtection="1">
      <alignment horizontal="center" vertical="center"/>
      <protection hidden="1"/>
    </xf>
    <xf numFmtId="0" fontId="62" fillId="4" borderId="17" xfId="0" applyFont="1" applyFill="1" applyBorder="1" applyAlignment="1" applyProtection="1">
      <alignment horizontal="center" vertical="center"/>
      <protection hidden="1"/>
    </xf>
    <xf numFmtId="0" fontId="62" fillId="4" borderId="16" xfId="0" applyFont="1" applyFill="1" applyBorder="1" applyAlignment="1" applyProtection="1">
      <alignment horizontal="center" vertical="center"/>
      <protection hidden="1"/>
    </xf>
    <xf numFmtId="0" fontId="56" fillId="0" borderId="4" xfId="0" applyFont="1" applyBorder="1" applyAlignment="1" applyProtection="1">
      <alignment horizontal="center" vertical="center"/>
      <protection hidden="1"/>
    </xf>
    <xf numFmtId="0" fontId="56" fillId="0" borderId="15" xfId="0" applyFont="1" applyBorder="1" applyAlignment="1" applyProtection="1">
      <alignment horizontal="center" vertical="center"/>
      <protection hidden="1"/>
    </xf>
    <xf numFmtId="0" fontId="56" fillId="0" borderId="5" xfId="0" applyFont="1" applyBorder="1" applyAlignment="1" applyProtection="1">
      <alignment horizontal="center" vertical="center"/>
      <protection hidden="1"/>
    </xf>
    <xf numFmtId="186" fontId="56" fillId="5" borderId="21" xfId="0" applyNumberFormat="1" applyFont="1" applyFill="1" applyBorder="1" applyAlignment="1" applyProtection="1">
      <alignment horizontal="center" vertical="center"/>
      <protection hidden="1"/>
    </xf>
    <xf numFmtId="186" fontId="56" fillId="5" borderId="22" xfId="0" applyNumberFormat="1" applyFont="1" applyFill="1" applyBorder="1" applyAlignment="1" applyProtection="1">
      <alignment horizontal="center" vertical="center"/>
      <protection hidden="1"/>
    </xf>
    <xf numFmtId="186" fontId="56" fillId="5" borderId="29" xfId="0" applyNumberFormat="1" applyFont="1" applyFill="1" applyBorder="1" applyAlignment="1" applyProtection="1">
      <alignment horizontal="center" vertical="center"/>
      <protection hidden="1"/>
    </xf>
    <xf numFmtId="186" fontId="56" fillId="0" borderId="8" xfId="0" applyNumberFormat="1" applyFont="1" applyBorder="1" applyAlignment="1" applyProtection="1">
      <alignment horizontal="center" vertical="center"/>
      <protection hidden="1"/>
    </xf>
    <xf numFmtId="186" fontId="56" fillId="0" borderId="9" xfId="0" applyNumberFormat="1" applyFont="1" applyBorder="1" applyAlignment="1" applyProtection="1">
      <alignment horizontal="center" vertical="center"/>
      <protection hidden="1"/>
    </xf>
    <xf numFmtId="0" fontId="56" fillId="32" borderId="21" xfId="0" applyNumberFormat="1" applyFont="1" applyFill="1" applyBorder="1" applyAlignment="1" applyProtection="1">
      <alignment horizontal="left" vertical="top" wrapText="1"/>
      <protection locked="0"/>
    </xf>
    <xf numFmtId="0" fontId="56" fillId="32" borderId="22" xfId="0" applyNumberFormat="1" applyFont="1" applyFill="1" applyBorder="1" applyAlignment="1" applyProtection="1">
      <alignment horizontal="left" vertical="top" wrapText="1"/>
      <protection locked="0"/>
    </xf>
    <xf numFmtId="0" fontId="56" fillId="32" borderId="29" xfId="0" applyNumberFormat="1" applyFont="1" applyFill="1" applyBorder="1" applyAlignment="1" applyProtection="1">
      <alignment horizontal="left" vertical="top" wrapText="1"/>
      <protection locked="0"/>
    </xf>
    <xf numFmtId="0" fontId="55" fillId="0" borderId="30" xfId="0" applyFont="1" applyFill="1" applyBorder="1" applyAlignment="1" applyProtection="1">
      <alignment horizontal="center" vertical="center"/>
      <protection hidden="1"/>
    </xf>
    <xf numFmtId="0" fontId="55" fillId="0" borderId="31" xfId="0" applyFont="1" applyFill="1" applyBorder="1" applyAlignment="1" applyProtection="1">
      <alignment horizontal="center" vertical="center"/>
      <protection hidden="1"/>
    </xf>
    <xf numFmtId="0" fontId="55" fillId="0" borderId="34" xfId="0" applyFont="1" applyFill="1" applyBorder="1" applyAlignment="1" applyProtection="1">
      <alignment horizontal="center" vertical="center"/>
      <protection hidden="1"/>
    </xf>
    <xf numFmtId="0" fontId="64" fillId="9" borderId="18" xfId="0" applyFont="1" applyFill="1" applyBorder="1" applyAlignment="1" applyProtection="1">
      <alignment horizontal="left" vertical="center" wrapText="1"/>
      <protection hidden="1"/>
    </xf>
    <xf numFmtId="0" fontId="64" fillId="9" borderId="53" xfId="0" applyFont="1" applyFill="1" applyBorder="1" applyAlignment="1" applyProtection="1">
      <alignment horizontal="left" vertical="center" wrapText="1"/>
      <protection hidden="1"/>
    </xf>
    <xf numFmtId="0" fontId="64" fillId="9" borderId="17" xfId="0" applyFont="1" applyFill="1" applyBorder="1" applyAlignment="1" applyProtection="1">
      <alignment horizontal="left" vertical="center" wrapText="1"/>
      <protection hidden="1"/>
    </xf>
    <xf numFmtId="0" fontId="56" fillId="0" borderId="8" xfId="0" applyNumberFormat="1" applyFont="1" applyFill="1" applyBorder="1" applyAlignment="1" applyProtection="1">
      <alignment horizontal="left" vertical="center" wrapText="1"/>
      <protection hidden="1"/>
    </xf>
    <xf numFmtId="0" fontId="55" fillId="0" borderId="28" xfId="0" applyFont="1" applyFill="1" applyBorder="1" applyAlignment="1" applyProtection="1">
      <alignment horizontal="center" vertical="center"/>
      <protection hidden="1"/>
    </xf>
    <xf numFmtId="0" fontId="56" fillId="0" borderId="21" xfId="0" applyFont="1" applyBorder="1" applyAlignment="1" applyProtection="1">
      <alignment horizontal="center" vertical="center"/>
      <protection hidden="1"/>
    </xf>
    <xf numFmtId="0" fontId="56" fillId="0" borderId="22" xfId="0" applyFont="1" applyBorder="1" applyAlignment="1" applyProtection="1">
      <alignment horizontal="center" vertical="center"/>
      <protection hidden="1"/>
    </xf>
    <xf numFmtId="0" fontId="56" fillId="0" borderId="29" xfId="0" applyFont="1" applyBorder="1" applyAlignment="1" applyProtection="1">
      <alignment horizontal="center" vertical="center"/>
      <protection hidden="1"/>
    </xf>
    <xf numFmtId="49" fontId="56" fillId="0" borderId="21" xfId="0" applyNumberFormat="1" applyFont="1" applyBorder="1" applyAlignment="1" applyProtection="1">
      <alignment horizontal="center" vertical="center"/>
      <protection hidden="1"/>
    </xf>
    <xf numFmtId="49" fontId="56" fillId="0" borderId="22" xfId="0" applyNumberFormat="1" applyFont="1" applyBorder="1" applyAlignment="1" applyProtection="1">
      <alignment horizontal="center" vertical="center"/>
      <protection hidden="1"/>
    </xf>
    <xf numFmtId="49" fontId="56" fillId="0" borderId="29" xfId="0" applyNumberFormat="1" applyFont="1" applyBorder="1" applyAlignment="1" applyProtection="1">
      <alignment horizontal="center" vertical="center"/>
      <protection hidden="1"/>
    </xf>
    <xf numFmtId="167" fontId="56" fillId="0" borderId="8" xfId="0" applyNumberFormat="1" applyFont="1" applyBorder="1" applyAlignment="1" applyProtection="1">
      <alignment horizontal="center" vertical="center"/>
      <protection hidden="1"/>
    </xf>
    <xf numFmtId="167" fontId="56" fillId="0" borderId="9" xfId="0" applyNumberFormat="1" applyFont="1" applyBorder="1" applyAlignment="1" applyProtection="1">
      <alignment horizontal="center" vertical="center"/>
      <protection hidden="1"/>
    </xf>
    <xf numFmtId="0" fontId="75" fillId="0" borderId="11" xfId="0" applyFont="1" applyBorder="1" applyAlignment="1" applyProtection="1">
      <alignment horizontal="left" vertical="center"/>
      <protection hidden="1"/>
    </xf>
    <xf numFmtId="0" fontId="75" fillId="0" borderId="13" xfId="0" applyFont="1" applyBorder="1" applyAlignment="1" applyProtection="1">
      <alignment horizontal="left" vertical="center"/>
      <protection hidden="1"/>
    </xf>
    <xf numFmtId="0" fontId="44" fillId="0" borderId="13" xfId="2" applyFont="1" applyBorder="1" applyAlignment="1" applyProtection="1">
      <alignment horizontal="left" vertical="center" wrapText="1"/>
      <protection hidden="1"/>
    </xf>
    <xf numFmtId="0" fontId="44" fillId="0" borderId="14" xfId="2" applyFont="1" applyBorder="1" applyAlignment="1" applyProtection="1">
      <alignment horizontal="left" vertical="center" wrapText="1"/>
      <protection hidden="1"/>
    </xf>
    <xf numFmtId="0" fontId="61" fillId="9" borderId="6" xfId="0" applyFont="1" applyFill="1" applyBorder="1" applyAlignment="1" applyProtection="1">
      <alignment horizontal="center" vertical="center"/>
      <protection hidden="1"/>
    </xf>
    <xf numFmtId="0" fontId="61" fillId="9" borderId="17" xfId="0" applyFont="1" applyFill="1" applyBorder="1" applyAlignment="1" applyProtection="1">
      <alignment horizontal="center" vertical="center"/>
      <protection hidden="1"/>
    </xf>
    <xf numFmtId="43" fontId="56" fillId="0" borderId="21" xfId="0" applyNumberFormat="1" applyFont="1" applyBorder="1" applyAlignment="1" applyProtection="1">
      <alignment horizontal="left" vertical="center"/>
      <protection hidden="1"/>
    </xf>
    <xf numFmtId="43" fontId="56" fillId="0" borderId="22" xfId="0" applyNumberFormat="1" applyFont="1" applyBorder="1" applyAlignment="1" applyProtection="1">
      <alignment horizontal="left" vertical="center"/>
      <protection hidden="1"/>
    </xf>
    <xf numFmtId="43" fontId="56" fillId="0" borderId="29" xfId="0" applyNumberFormat="1" applyFont="1" applyBorder="1" applyAlignment="1" applyProtection="1">
      <alignment horizontal="left" vertical="center"/>
      <protection hidden="1"/>
    </xf>
    <xf numFmtId="0" fontId="61" fillId="9" borderId="30" xfId="0" applyFont="1" applyFill="1" applyBorder="1" applyAlignment="1" applyProtection="1">
      <alignment horizontal="center" vertical="center"/>
      <protection hidden="1"/>
    </xf>
    <xf numFmtId="0" fontId="61" fillId="9" borderId="31" xfId="0" applyFont="1" applyFill="1" applyBorder="1" applyAlignment="1" applyProtection="1">
      <alignment horizontal="center" vertical="center"/>
      <protection hidden="1"/>
    </xf>
    <xf numFmtId="167" fontId="56" fillId="0" borderId="31" xfId="0" applyNumberFormat="1" applyFont="1" applyBorder="1" applyAlignment="1" applyProtection="1">
      <alignment horizontal="center" vertical="center"/>
      <protection hidden="1"/>
    </xf>
    <xf numFmtId="167" fontId="56" fillId="0" borderId="34" xfId="0" applyNumberFormat="1" applyFont="1" applyBorder="1" applyAlignment="1" applyProtection="1">
      <alignment horizontal="center" vertical="center"/>
      <protection hidden="1"/>
    </xf>
    <xf numFmtId="0" fontId="63" fillId="0" borderId="0" xfId="0" applyFont="1" applyAlignment="1">
      <alignment horizontal="left" vertical="center" wrapText="1"/>
    </xf>
    <xf numFmtId="0" fontId="56" fillId="0" borderId="8" xfId="0" applyFont="1" applyBorder="1" applyAlignment="1" applyProtection="1">
      <alignment horizontal="center" vertical="center"/>
      <protection hidden="1"/>
    </xf>
    <xf numFmtId="0" fontId="56" fillId="0" borderId="9" xfId="0" applyFont="1" applyBorder="1" applyAlignment="1" applyProtection="1">
      <alignment horizontal="center" vertical="center"/>
      <protection hidden="1"/>
    </xf>
    <xf numFmtId="167" fontId="56" fillId="32" borderId="17" xfId="0" applyNumberFormat="1" applyFont="1" applyFill="1" applyBorder="1" applyAlignment="1" applyProtection="1">
      <alignment horizontal="center" vertical="center"/>
      <protection locked="0"/>
    </xf>
    <xf numFmtId="167" fontId="56" fillId="32" borderId="19" xfId="0" applyNumberFormat="1" applyFont="1" applyFill="1" applyBorder="1" applyAlignment="1" applyProtection="1">
      <alignment horizontal="center" vertical="center"/>
      <protection locked="0"/>
    </xf>
    <xf numFmtId="0" fontId="20" fillId="8" borderId="28" xfId="0" applyFont="1" applyFill="1" applyBorder="1" applyAlignment="1" applyProtection="1">
      <alignment horizontal="center" vertical="center"/>
      <protection hidden="1"/>
    </xf>
    <xf numFmtId="0" fontId="66" fillId="8" borderId="8" xfId="0" applyFont="1" applyFill="1" applyBorder="1" applyAlignment="1" applyProtection="1">
      <alignment horizontal="center" vertical="center"/>
      <protection hidden="1"/>
    </xf>
    <xf numFmtId="0" fontId="66" fillId="8" borderId="9" xfId="0" applyFont="1" applyFill="1" applyBorder="1" applyAlignment="1" applyProtection="1">
      <alignment horizontal="center" vertical="center"/>
      <protection hidden="1"/>
    </xf>
    <xf numFmtId="0" fontId="56" fillId="0" borderId="0" xfId="0" applyFont="1" applyBorder="1" applyAlignment="1" applyProtection="1">
      <alignment horizontal="left" vertical="center"/>
      <protection hidden="1"/>
    </xf>
    <xf numFmtId="0" fontId="56" fillId="0" borderId="24" xfId="0" applyFont="1" applyBorder="1" applyAlignment="1" applyProtection="1">
      <alignment horizontal="left" vertical="center"/>
      <protection hidden="1"/>
    </xf>
    <xf numFmtId="0" fontId="56" fillId="0" borderId="27" xfId="0" applyFont="1" applyBorder="1" applyAlignment="1" applyProtection="1">
      <alignment horizontal="center" vertical="center"/>
      <protection hidden="1"/>
    </xf>
    <xf numFmtId="0" fontId="56" fillId="0" borderId="7" xfId="0" applyFont="1" applyBorder="1" applyAlignment="1" applyProtection="1">
      <alignment horizontal="center" vertical="center"/>
      <protection hidden="1"/>
    </xf>
    <xf numFmtId="0" fontId="80" fillId="0" borderId="11" xfId="0" applyFont="1" applyFill="1" applyBorder="1" applyAlignment="1" applyProtection="1">
      <alignment horizontal="center" vertical="center"/>
      <protection hidden="1"/>
    </xf>
    <xf numFmtId="0" fontId="80" fillId="0" borderId="13" xfId="0" applyFont="1" applyFill="1" applyBorder="1" applyAlignment="1" applyProtection="1">
      <alignment horizontal="center" vertical="center"/>
      <protection hidden="1"/>
    </xf>
    <xf numFmtId="0" fontId="80" fillId="0" borderId="14" xfId="0" applyFont="1" applyFill="1" applyBorder="1" applyAlignment="1" applyProtection="1">
      <alignment horizontal="center" vertical="center"/>
      <protection hidden="1"/>
    </xf>
    <xf numFmtId="167" fontId="56" fillId="0" borderId="17" xfId="0" applyNumberFormat="1" applyFont="1" applyBorder="1" applyAlignment="1" applyProtection="1">
      <alignment horizontal="center" vertical="center"/>
      <protection hidden="1"/>
    </xf>
    <xf numFmtId="167" fontId="56" fillId="0" borderId="19" xfId="0" applyNumberFormat="1" applyFont="1" applyBorder="1" applyAlignment="1" applyProtection="1">
      <alignment horizontal="center" vertical="center"/>
      <protection hidden="1"/>
    </xf>
    <xf numFmtId="0" fontId="56" fillId="0" borderId="21" xfId="0" applyNumberFormat="1" applyFont="1" applyBorder="1" applyAlignment="1" applyProtection="1">
      <alignment horizontal="left" vertical="top" wrapText="1"/>
      <protection hidden="1"/>
    </xf>
    <xf numFmtId="0" fontId="56" fillId="0" borderId="22" xfId="0" applyNumberFormat="1" applyFont="1" applyBorder="1" applyAlignment="1" applyProtection="1">
      <alignment horizontal="left" vertical="top" wrapText="1"/>
      <protection hidden="1"/>
    </xf>
    <xf numFmtId="0" fontId="56" fillId="0" borderId="29" xfId="0" applyNumberFormat="1" applyFont="1" applyBorder="1" applyAlignment="1" applyProtection="1">
      <alignment horizontal="left" vertical="top" wrapText="1"/>
      <protection hidden="1"/>
    </xf>
    <xf numFmtId="0" fontId="21" fillId="9" borderId="8" xfId="0" applyFont="1" applyFill="1" applyBorder="1" applyAlignment="1" applyProtection="1">
      <alignment horizontal="center" vertical="center"/>
      <protection hidden="1"/>
    </xf>
    <xf numFmtId="10" fontId="0" fillId="9" borderId="8" xfId="0" applyNumberFormat="1" applyFill="1" applyBorder="1" applyAlignment="1" applyProtection="1">
      <alignment horizontal="center" vertical="center"/>
      <protection hidden="1"/>
    </xf>
    <xf numFmtId="1" fontId="56" fillId="0" borderId="8" xfId="0" applyNumberFormat="1" applyFont="1" applyBorder="1" applyAlignment="1" applyProtection="1">
      <alignment horizontal="center" vertical="center"/>
      <protection hidden="1"/>
    </xf>
    <xf numFmtId="0" fontId="56" fillId="0" borderId="39" xfId="0" applyFont="1" applyBorder="1" applyAlignment="1" applyProtection="1">
      <alignment horizontal="center" vertical="center"/>
    </xf>
    <xf numFmtId="0" fontId="34" fillId="8" borderId="4" xfId="0" applyFont="1" applyFill="1" applyBorder="1" applyAlignment="1">
      <alignment horizontal="center" vertical="center"/>
    </xf>
    <xf numFmtId="0" fontId="34" fillId="8" borderId="15" xfId="0" applyFont="1" applyFill="1" applyBorder="1" applyAlignment="1">
      <alignment horizontal="center" vertical="center"/>
    </xf>
    <xf numFmtId="0" fontId="34" fillId="8" borderId="5" xfId="0" applyFont="1" applyFill="1" applyBorder="1" applyAlignment="1">
      <alignment horizontal="center" vertical="center"/>
    </xf>
    <xf numFmtId="188" fontId="55" fillId="0" borderId="36" xfId="0" applyNumberFormat="1" applyFont="1" applyBorder="1" applyAlignment="1">
      <alignment horizontal="center" vertical="center"/>
    </xf>
    <xf numFmtId="188" fontId="55" fillId="0" borderId="37" xfId="0" applyNumberFormat="1" applyFont="1" applyBorder="1" applyAlignment="1">
      <alignment horizontal="center" vertical="center"/>
    </xf>
    <xf numFmtId="0" fontId="43" fillId="0" borderId="10" xfId="0" applyFont="1" applyBorder="1" applyAlignment="1">
      <alignment horizontal="left" vertical="center" wrapText="1"/>
    </xf>
    <xf numFmtId="0" fontId="34" fillId="8" borderId="4" xfId="0" applyFont="1" applyFill="1" applyBorder="1" applyAlignment="1">
      <alignment horizontal="left" vertical="center"/>
    </xf>
    <xf numFmtId="0" fontId="34" fillId="8" borderId="15" xfId="0" applyFont="1" applyFill="1" applyBorder="1" applyAlignment="1">
      <alignment horizontal="left" vertical="center"/>
    </xf>
    <xf numFmtId="0" fontId="34" fillId="8" borderId="76" xfId="0" applyFont="1" applyFill="1" applyBorder="1" applyAlignment="1">
      <alignment horizontal="left" vertical="center"/>
    </xf>
    <xf numFmtId="186" fontId="34" fillId="32" borderId="17" xfId="0" applyNumberFormat="1" applyFont="1" applyFill="1" applyBorder="1" applyAlignment="1" applyProtection="1">
      <alignment horizontal="center" vertical="center"/>
      <protection locked="0"/>
    </xf>
    <xf numFmtId="186" fontId="34" fillId="32" borderId="64" xfId="0" applyNumberFormat="1" applyFont="1" applyFill="1" applyBorder="1" applyAlignment="1" applyProtection="1">
      <alignment horizontal="center" vertical="center"/>
      <protection locked="0"/>
    </xf>
    <xf numFmtId="0" fontId="34" fillId="9" borderId="21" xfId="0" applyFont="1" applyFill="1" applyBorder="1" applyAlignment="1">
      <alignment horizontal="left" vertical="center"/>
    </xf>
    <xf numFmtId="0" fontId="34" fillId="9" borderId="22" xfId="0" applyFont="1" applyFill="1" applyBorder="1" applyAlignment="1">
      <alignment horizontal="left" vertical="center"/>
    </xf>
    <xf numFmtId="0" fontId="34" fillId="9" borderId="20" xfId="0" applyFont="1" applyFill="1" applyBorder="1" applyAlignment="1">
      <alignment horizontal="left" vertical="center"/>
    </xf>
    <xf numFmtId="1" fontId="56" fillId="0" borderId="22" xfId="0" applyNumberFormat="1" applyFont="1" applyBorder="1" applyAlignment="1">
      <alignment horizontal="center" vertical="center"/>
    </xf>
    <xf numFmtId="1" fontId="56" fillId="0" borderId="29" xfId="0" applyNumberFormat="1" applyFont="1" applyBorder="1" applyAlignment="1">
      <alignment horizontal="center" vertical="center"/>
    </xf>
    <xf numFmtId="0" fontId="34" fillId="8" borderId="48" xfId="0" applyFont="1" applyFill="1" applyBorder="1" applyAlignment="1">
      <alignment horizontal="center" vertical="center"/>
    </xf>
    <xf numFmtId="0" fontId="34" fillId="8" borderId="50" xfId="0" applyFont="1" applyFill="1" applyBorder="1" applyAlignment="1">
      <alignment horizontal="center" vertical="center"/>
    </xf>
    <xf numFmtId="0" fontId="34" fillId="8" borderId="54" xfId="0" applyFont="1" applyFill="1" applyBorder="1" applyAlignment="1">
      <alignment horizontal="center" vertical="center"/>
    </xf>
    <xf numFmtId="0" fontId="34" fillId="9" borderId="16" xfId="0" applyFont="1" applyFill="1" applyBorder="1" applyAlignment="1">
      <alignment horizontal="left" vertical="center"/>
    </xf>
    <xf numFmtId="0" fontId="34" fillId="9" borderId="39" xfId="0" applyFont="1" applyFill="1" applyBorder="1" applyAlignment="1">
      <alignment horizontal="left" vertical="center"/>
    </xf>
    <xf numFmtId="0" fontId="34" fillId="9" borderId="40" xfId="0" applyFont="1" applyFill="1" applyBorder="1" applyAlignment="1">
      <alignment horizontal="left" vertical="center"/>
    </xf>
    <xf numFmtId="0" fontId="34" fillId="9" borderId="21" xfId="0" applyFont="1" applyFill="1" applyBorder="1" applyAlignment="1">
      <alignment horizontal="center" vertical="center"/>
    </xf>
    <xf numFmtId="0" fontId="34" fillId="9" borderId="22" xfId="0" applyFont="1" applyFill="1" applyBorder="1" applyAlignment="1">
      <alignment horizontal="center" vertical="center"/>
    </xf>
    <xf numFmtId="0" fontId="34" fillId="9" borderId="20" xfId="0" applyFont="1" applyFill="1" applyBorder="1" applyAlignment="1">
      <alignment horizontal="center" vertical="center"/>
    </xf>
    <xf numFmtId="15" fontId="34" fillId="32" borderId="8" xfId="0" applyNumberFormat="1" applyFont="1" applyFill="1" applyBorder="1" applyAlignment="1" applyProtection="1">
      <alignment horizontal="center" vertical="center"/>
      <protection locked="0"/>
    </xf>
    <xf numFmtId="0" fontId="34" fillId="32" borderId="32" xfId="0" applyFont="1" applyFill="1" applyBorder="1" applyAlignment="1" applyProtection="1">
      <alignment horizontal="center" vertical="center" wrapText="1"/>
      <protection locked="0"/>
    </xf>
    <xf numFmtId="0" fontId="34" fillId="32" borderId="38" xfId="0" applyFont="1" applyFill="1" applyBorder="1" applyAlignment="1" applyProtection="1">
      <alignment horizontal="center" vertical="center" wrapText="1"/>
      <protection locked="0"/>
    </xf>
    <xf numFmtId="0" fontId="56" fillId="0" borderId="4" xfId="0" applyFont="1" applyBorder="1" applyAlignment="1" applyProtection="1">
      <alignment horizontal="center" vertical="center"/>
      <protection locked="0"/>
    </xf>
    <xf numFmtId="0" fontId="56" fillId="0" borderId="15" xfId="0" applyFont="1" applyBorder="1" applyAlignment="1" applyProtection="1">
      <alignment horizontal="center" vertical="center"/>
      <protection locked="0"/>
    </xf>
    <xf numFmtId="0" fontId="56" fillId="0" borderId="5" xfId="0" applyFont="1" applyBorder="1" applyAlignment="1" applyProtection="1">
      <alignment horizontal="center" vertical="center"/>
      <protection locked="0"/>
    </xf>
    <xf numFmtId="0" fontId="34" fillId="14" borderId="4" xfId="0" applyFont="1" applyFill="1" applyBorder="1" applyAlignment="1">
      <alignment horizontal="left" vertical="center"/>
    </xf>
    <xf numFmtId="0" fontId="34" fillId="14" borderId="15" xfId="0" applyFont="1" applyFill="1" applyBorder="1" applyAlignment="1">
      <alignment horizontal="left" vertical="center"/>
    </xf>
    <xf numFmtId="186" fontId="109" fillId="8" borderId="4" xfId="0" applyNumberFormat="1" applyFont="1" applyFill="1" applyBorder="1" applyAlignment="1">
      <alignment horizontal="center" vertical="center"/>
    </xf>
    <xf numFmtId="186" fontId="109" fillId="8" borderId="15" xfId="0" applyNumberFormat="1" applyFont="1" applyFill="1" applyBorder="1" applyAlignment="1">
      <alignment horizontal="center" vertical="center"/>
    </xf>
    <xf numFmtId="186" fontId="109" fillId="8" borderId="5" xfId="0" applyNumberFormat="1" applyFont="1" applyFill="1" applyBorder="1" applyAlignment="1">
      <alignment horizontal="center" vertical="center"/>
    </xf>
    <xf numFmtId="0" fontId="34" fillId="8" borderId="84" xfId="0" applyFont="1" applyFill="1" applyBorder="1" applyAlignment="1">
      <alignment horizontal="right" vertical="center"/>
    </xf>
    <xf numFmtId="0" fontId="34" fillId="8" borderId="5" xfId="0" applyFont="1" applyFill="1" applyBorder="1" applyAlignment="1">
      <alignment horizontal="right" vertical="center"/>
    </xf>
    <xf numFmtId="1" fontId="56" fillId="32" borderId="22" xfId="0" applyNumberFormat="1" applyFont="1" applyFill="1" applyBorder="1" applyAlignment="1" applyProtection="1">
      <alignment horizontal="center" vertical="center"/>
      <protection locked="0"/>
    </xf>
    <xf numFmtId="1" fontId="56" fillId="32" borderId="29" xfId="0" applyNumberFormat="1" applyFont="1" applyFill="1" applyBorder="1" applyAlignment="1" applyProtection="1">
      <alignment horizontal="center" vertical="center"/>
      <protection locked="0"/>
    </xf>
    <xf numFmtId="1" fontId="56" fillId="0" borderId="22" xfId="0" applyNumberFormat="1" applyFont="1" applyFill="1" applyBorder="1" applyAlignment="1">
      <alignment horizontal="center" vertical="center"/>
    </xf>
    <xf numFmtId="1" fontId="56" fillId="0" borderId="29" xfId="0" applyNumberFormat="1" applyFont="1" applyFill="1" applyBorder="1" applyAlignment="1">
      <alignment horizontal="center" vertical="center"/>
    </xf>
    <xf numFmtId="0" fontId="43" fillId="0" borderId="0" xfId="0" applyFont="1" applyBorder="1" applyAlignment="1">
      <alignment horizontal="left" vertical="center" wrapText="1"/>
    </xf>
    <xf numFmtId="0" fontId="58" fillId="9" borderId="22" xfId="0" applyFont="1" applyFill="1" applyBorder="1" applyAlignment="1">
      <alignment horizontal="left"/>
    </xf>
    <xf numFmtId="0" fontId="58" fillId="9" borderId="20" xfId="0" applyFont="1" applyFill="1" applyBorder="1" applyAlignment="1">
      <alignment horizontal="left"/>
    </xf>
    <xf numFmtId="1" fontId="56" fillId="7" borderId="22" xfId="0" applyNumberFormat="1" applyFont="1" applyFill="1" applyBorder="1" applyAlignment="1">
      <alignment horizontal="center" vertical="center"/>
    </xf>
    <xf numFmtId="1" fontId="56" fillId="7" borderId="29" xfId="0" applyNumberFormat="1" applyFont="1" applyFill="1" applyBorder="1" applyAlignment="1">
      <alignment horizontal="center" vertical="center"/>
    </xf>
    <xf numFmtId="186" fontId="92" fillId="0" borderId="39" xfId="0" applyNumberFormat="1" applyFont="1" applyFill="1" applyBorder="1" applyAlignment="1">
      <alignment horizontal="center" vertical="center"/>
    </xf>
    <xf numFmtId="0" fontId="71" fillId="0" borderId="16" xfId="0" applyFont="1" applyFill="1" applyBorder="1" applyAlignment="1">
      <alignment horizontal="center" vertical="center"/>
    </xf>
    <xf numFmtId="0" fontId="71" fillId="0" borderId="39" xfId="0" applyFont="1" applyFill="1" applyBorder="1" applyAlignment="1">
      <alignment horizontal="center" vertical="center"/>
    </xf>
    <xf numFmtId="0" fontId="61" fillId="8" borderId="24" xfId="0" applyFont="1" applyFill="1" applyBorder="1" applyAlignment="1" applyProtection="1">
      <alignment horizontal="center" vertical="center" wrapText="1"/>
      <protection hidden="1"/>
    </xf>
    <xf numFmtId="0" fontId="61" fillId="8" borderId="0" xfId="0" applyFont="1" applyFill="1" applyBorder="1" applyAlignment="1" applyProtection="1">
      <alignment horizontal="center" vertical="center" wrapText="1"/>
      <protection hidden="1"/>
    </xf>
    <xf numFmtId="0" fontId="61" fillId="8" borderId="38" xfId="0" applyFont="1" applyFill="1" applyBorder="1" applyAlignment="1" applyProtection="1">
      <alignment horizontal="center" vertical="center" wrapText="1"/>
      <protection hidden="1"/>
    </xf>
    <xf numFmtId="0" fontId="15" fillId="8" borderId="8" xfId="0" applyFont="1" applyFill="1" applyBorder="1" applyAlignment="1" applyProtection="1">
      <alignment horizontal="center"/>
      <protection locked="0"/>
    </xf>
    <xf numFmtId="0" fontId="15" fillId="8" borderId="9" xfId="0" applyFont="1" applyFill="1" applyBorder="1" applyAlignment="1" applyProtection="1">
      <alignment horizontal="center"/>
      <protection locked="0"/>
    </xf>
    <xf numFmtId="0" fontId="52" fillId="12" borderId="0" xfId="0" applyFont="1" applyFill="1" applyBorder="1" applyAlignment="1">
      <alignment horizontal="left" vertical="center"/>
    </xf>
    <xf numFmtId="0" fontId="61" fillId="8" borderId="4" xfId="0" applyFont="1" applyFill="1" applyBorder="1" applyAlignment="1">
      <alignment horizontal="right" vertical="center"/>
    </xf>
    <xf numFmtId="0" fontId="61" fillId="8" borderId="15" xfId="0" applyFont="1" applyFill="1" applyBorder="1" applyAlignment="1">
      <alignment horizontal="right" vertical="center"/>
    </xf>
    <xf numFmtId="0" fontId="61" fillId="8" borderId="5" xfId="0" applyFont="1" applyFill="1" applyBorder="1" applyAlignment="1">
      <alignment horizontal="right" vertical="center"/>
    </xf>
    <xf numFmtId="174" fontId="56" fillId="32" borderId="41" xfId="0" applyNumberFormat="1" applyFont="1" applyFill="1" applyBorder="1" applyAlignment="1" applyProtection="1">
      <alignment horizontal="center" vertical="center"/>
      <protection locked="0"/>
    </xf>
    <xf numFmtId="174" fontId="56" fillId="32" borderId="55" xfId="0" applyNumberFormat="1" applyFont="1" applyFill="1" applyBorder="1" applyAlignment="1" applyProtection="1">
      <alignment horizontal="center" vertical="center"/>
      <protection locked="0"/>
    </xf>
    <xf numFmtId="0" fontId="84" fillId="9" borderId="26" xfId="0" applyFont="1" applyFill="1" applyBorder="1" applyAlignment="1">
      <alignment horizontal="left" vertical="center"/>
    </xf>
    <xf numFmtId="0" fontId="84" fillId="9" borderId="27" xfId="0" applyFont="1" applyFill="1" applyBorder="1" applyAlignment="1">
      <alignment horizontal="left" vertical="center"/>
    </xf>
    <xf numFmtId="0" fontId="85" fillId="0" borderId="31" xfId="0" applyFont="1" applyBorder="1" applyAlignment="1">
      <alignment horizontal="center" vertical="center"/>
    </xf>
    <xf numFmtId="0" fontId="84" fillId="9" borderId="30" xfId="0" applyFont="1" applyFill="1" applyBorder="1" applyAlignment="1">
      <alignment horizontal="left" vertical="center"/>
    </xf>
    <xf numFmtId="0" fontId="84" fillId="9" borderId="31" xfId="0" applyFont="1" applyFill="1" applyBorder="1" applyAlignment="1">
      <alignment horizontal="left" vertical="center"/>
    </xf>
    <xf numFmtId="187" fontId="85" fillId="0" borderId="31" xfId="0" applyNumberFormat="1" applyFont="1" applyFill="1" applyBorder="1" applyAlignment="1">
      <alignment horizontal="center" vertical="center"/>
    </xf>
    <xf numFmtId="187" fontId="85" fillId="0" borderId="34" xfId="0" applyNumberFormat="1" applyFont="1" applyFill="1" applyBorder="1" applyAlignment="1">
      <alignment horizontal="center" vertical="center"/>
    </xf>
    <xf numFmtId="186" fontId="61" fillId="8" borderId="22" xfId="0" applyNumberFormat="1" applyFont="1" applyFill="1" applyBorder="1" applyAlignment="1">
      <alignment horizontal="center" vertical="center"/>
    </xf>
    <xf numFmtId="186" fontId="61" fillId="8" borderId="29" xfId="0" applyNumberFormat="1" applyFont="1" applyFill="1" applyBorder="1" applyAlignment="1">
      <alignment horizontal="center" vertical="center"/>
    </xf>
    <xf numFmtId="0" fontId="61" fillId="9" borderId="8" xfId="0" applyFont="1" applyFill="1" applyBorder="1" applyAlignment="1">
      <alignment horizontal="center" vertical="center" wrapText="1"/>
    </xf>
    <xf numFmtId="3" fontId="34" fillId="5" borderId="24" xfId="0" applyNumberFormat="1" applyFont="1" applyFill="1" applyBorder="1" applyAlignment="1">
      <alignment horizontal="center" vertical="center"/>
    </xf>
    <xf numFmtId="3" fontId="34" fillId="5" borderId="0" xfId="0" applyNumberFormat="1" applyFont="1" applyFill="1" applyBorder="1" applyAlignment="1">
      <alignment horizontal="center" vertical="center"/>
    </xf>
    <xf numFmtId="3" fontId="34" fillId="5" borderId="2" xfId="0" applyNumberFormat="1" applyFont="1" applyFill="1" applyBorder="1" applyAlignment="1">
      <alignment horizontal="center" vertical="center"/>
    </xf>
    <xf numFmtId="0" fontId="68" fillId="9" borderId="8" xfId="0" applyFont="1" applyFill="1" applyBorder="1" applyAlignment="1">
      <alignment horizontal="left" vertical="center"/>
    </xf>
    <xf numFmtId="0" fontId="68" fillId="9" borderId="21" xfId="0" applyFont="1" applyFill="1" applyBorder="1" applyAlignment="1">
      <alignment horizontal="left" vertical="center"/>
    </xf>
    <xf numFmtId="0" fontId="32" fillId="0" borderId="0" xfId="0" applyFont="1" applyFill="1" applyBorder="1" applyAlignment="1">
      <alignment horizontal="center" vertical="center"/>
    </xf>
    <xf numFmtId="166" fontId="85" fillId="0" borderId="18" xfId="0" applyNumberFormat="1" applyFont="1" applyBorder="1" applyAlignment="1">
      <alignment horizontal="center" vertical="center"/>
    </xf>
    <xf numFmtId="0" fontId="34" fillId="9" borderId="8" xfId="0" applyFont="1" applyFill="1" applyBorder="1" applyAlignment="1">
      <alignment horizontal="center" vertical="center"/>
    </xf>
    <xf numFmtId="0" fontId="56" fillId="0" borderId="0" xfId="0" applyFont="1" applyFill="1" applyBorder="1" applyAlignment="1">
      <alignment horizontal="center" vertical="center"/>
    </xf>
    <xf numFmtId="0" fontId="84" fillId="9" borderId="28" xfId="0" applyFont="1" applyFill="1" applyBorder="1" applyAlignment="1">
      <alignment horizontal="left" vertical="center"/>
    </xf>
    <xf numFmtId="0" fontId="84" fillId="9" borderId="8" xfId="0" applyFont="1" applyFill="1" applyBorder="1" applyAlignment="1">
      <alignment horizontal="left" vertical="center"/>
    </xf>
    <xf numFmtId="0" fontId="0" fillId="0" borderId="31" xfId="0" applyFont="1" applyBorder="1" applyAlignment="1">
      <alignment horizontal="right" vertical="center"/>
    </xf>
    <xf numFmtId="166" fontId="85" fillId="0" borderId="27" xfId="0" applyNumberFormat="1" applyFont="1" applyBorder="1" applyAlignment="1">
      <alignment horizontal="center" vertical="center"/>
    </xf>
    <xf numFmtId="0" fontId="0" fillId="0" borderId="31" xfId="0" applyFont="1" applyBorder="1" applyAlignment="1">
      <alignment horizontal="center" vertical="center"/>
    </xf>
    <xf numFmtId="0" fontId="0" fillId="0" borderId="34" xfId="0" applyFont="1" applyBorder="1" applyAlignment="1">
      <alignment horizontal="center" vertical="center"/>
    </xf>
    <xf numFmtId="0" fontId="0" fillId="0" borderId="27" xfId="0" applyFont="1" applyBorder="1" applyAlignment="1">
      <alignment horizontal="center" vertical="center"/>
    </xf>
    <xf numFmtId="0" fontId="84" fillId="9" borderId="56" xfId="0" applyFont="1" applyFill="1" applyBorder="1" applyAlignment="1">
      <alignment horizontal="center" vertical="center"/>
    </xf>
    <xf numFmtId="0" fontId="84" fillId="9" borderId="70" xfId="0" applyFont="1" applyFill="1" applyBorder="1" applyAlignment="1">
      <alignment horizontal="center" vertical="center"/>
    </xf>
    <xf numFmtId="0" fontId="84" fillId="9" borderId="71" xfId="0" applyFont="1" applyFill="1" applyBorder="1" applyAlignment="1">
      <alignment horizontal="center" vertical="center"/>
    </xf>
    <xf numFmtId="0" fontId="84" fillId="9" borderId="72" xfId="0" applyFont="1" applyFill="1" applyBorder="1" applyAlignment="1">
      <alignment horizontal="center" vertical="center"/>
    </xf>
    <xf numFmtId="0" fontId="0" fillId="0" borderId="56" xfId="0" applyFont="1" applyBorder="1" applyAlignment="1">
      <alignment horizontal="center" vertical="center" wrapText="1"/>
    </xf>
    <xf numFmtId="0" fontId="0" fillId="0" borderId="14" xfId="0" applyFont="1" applyBorder="1" applyAlignment="1">
      <alignment horizontal="center" vertical="center" wrapText="1"/>
    </xf>
    <xf numFmtId="0" fontId="0" fillId="0" borderId="71" xfId="0" applyFont="1" applyBorder="1" applyAlignment="1">
      <alignment horizontal="center" vertical="center" wrapText="1"/>
    </xf>
    <xf numFmtId="0" fontId="0" fillId="0" borderId="73" xfId="0" applyFont="1" applyBorder="1" applyAlignment="1">
      <alignment horizontal="center" vertical="center" wrapText="1"/>
    </xf>
    <xf numFmtId="177" fontId="31" fillId="0" borderId="0" xfId="0" applyNumberFormat="1" applyFont="1" applyFill="1" applyBorder="1" applyAlignment="1">
      <alignment horizontal="left" vertical="center"/>
    </xf>
    <xf numFmtId="166" fontId="85" fillId="0" borderId="7" xfId="0" applyNumberFormat="1" applyFont="1" applyBorder="1" applyAlignment="1">
      <alignment horizontal="center" vertical="center"/>
    </xf>
    <xf numFmtId="0" fontId="85" fillId="0" borderId="27" xfId="0" applyFont="1" applyBorder="1" applyAlignment="1">
      <alignment horizontal="left" vertical="center"/>
    </xf>
    <xf numFmtId="0" fontId="85" fillId="0" borderId="27" xfId="0" applyFont="1" applyBorder="1" applyAlignment="1">
      <alignment horizontal="center" vertical="center"/>
    </xf>
    <xf numFmtId="0" fontId="85" fillId="0" borderId="7" xfId="0" applyFont="1" applyBorder="1" applyAlignment="1">
      <alignment horizontal="center" vertical="center"/>
    </xf>
    <xf numFmtId="172" fontId="63" fillId="9" borderId="53" xfId="0" applyNumberFormat="1" applyFont="1" applyFill="1" applyBorder="1" applyAlignment="1">
      <alignment vertical="center"/>
    </xf>
    <xf numFmtId="176" fontId="56" fillId="0" borderId="53" xfId="0" applyNumberFormat="1" applyFont="1" applyBorder="1" applyAlignment="1" applyProtection="1">
      <alignment vertical="center"/>
      <protection hidden="1"/>
    </xf>
    <xf numFmtId="176" fontId="43" fillId="0" borderId="53" xfId="0" applyNumberFormat="1" applyFont="1" applyBorder="1" applyAlignment="1" applyProtection="1">
      <alignment vertical="center"/>
      <protection hidden="1"/>
    </xf>
    <xf numFmtId="0" fontId="74" fillId="17" borderId="0" xfId="0" applyFont="1" applyFill="1" applyAlignment="1">
      <alignment horizontal="center" vertical="center" wrapText="1"/>
    </xf>
    <xf numFmtId="0" fontId="56" fillId="9" borderId="26" xfId="0" applyFont="1" applyFill="1" applyBorder="1" applyAlignment="1">
      <alignment horizontal="center" vertical="center"/>
    </xf>
    <xf numFmtId="0" fontId="56" fillId="9" borderId="27" xfId="0" applyFont="1" applyFill="1" applyBorder="1" applyAlignment="1">
      <alignment horizontal="center" vertical="center"/>
    </xf>
    <xf numFmtId="0" fontId="56" fillId="9" borderId="7" xfId="0" applyFont="1" applyFill="1" applyBorder="1" applyAlignment="1">
      <alignment horizontal="center" vertical="center"/>
    </xf>
    <xf numFmtId="167" fontId="56" fillId="5" borderId="28" xfId="0" applyNumberFormat="1" applyFont="1" applyFill="1" applyBorder="1" applyAlignment="1" applyProtection="1">
      <alignment horizontal="center" vertical="center"/>
      <protection locked="0"/>
    </xf>
    <xf numFmtId="167" fontId="56" fillId="5" borderId="8" xfId="0" applyNumberFormat="1" applyFont="1" applyFill="1" applyBorder="1" applyAlignment="1" applyProtection="1">
      <alignment horizontal="center" vertical="center"/>
      <protection locked="0"/>
    </xf>
    <xf numFmtId="167" fontId="56" fillId="5" borderId="9" xfId="0" applyNumberFormat="1" applyFont="1" applyFill="1" applyBorder="1" applyAlignment="1" applyProtection="1">
      <alignment horizontal="center" vertical="center"/>
      <protection locked="0"/>
    </xf>
    <xf numFmtId="0" fontId="56" fillId="5" borderId="28" xfId="0" applyFont="1" applyFill="1" applyBorder="1" applyAlignment="1" applyProtection="1">
      <alignment horizontal="center" vertical="center"/>
      <protection locked="0"/>
    </xf>
    <xf numFmtId="0" fontId="56" fillId="5" borderId="8" xfId="0" applyFont="1" applyFill="1" applyBorder="1" applyAlignment="1" applyProtection="1">
      <alignment horizontal="center" vertical="center"/>
      <protection locked="0"/>
    </xf>
    <xf numFmtId="0" fontId="56" fillId="5" borderId="9" xfId="0" applyFont="1" applyFill="1" applyBorder="1" applyAlignment="1" applyProtection="1">
      <alignment horizontal="center" vertical="center"/>
      <protection locked="0"/>
    </xf>
    <xf numFmtId="0" fontId="56" fillId="5" borderId="30" xfId="0" applyFont="1" applyFill="1" applyBorder="1" applyAlignment="1" applyProtection="1">
      <alignment horizontal="center" vertical="center"/>
      <protection locked="0"/>
    </xf>
    <xf numFmtId="0" fontId="56" fillId="5" borderId="31" xfId="0" applyFont="1" applyFill="1" applyBorder="1" applyAlignment="1" applyProtection="1">
      <alignment horizontal="center" vertical="center"/>
      <protection locked="0"/>
    </xf>
    <xf numFmtId="0" fontId="56" fillId="5" borderId="34" xfId="0" applyFont="1" applyFill="1" applyBorder="1" applyAlignment="1" applyProtection="1">
      <alignment horizontal="center" vertical="center"/>
      <protection locked="0"/>
    </xf>
    <xf numFmtId="0" fontId="69" fillId="9" borderId="26" xfId="0" applyFont="1" applyFill="1" applyBorder="1" applyAlignment="1">
      <alignment horizontal="center" vertical="center"/>
    </xf>
    <xf numFmtId="0" fontId="69" fillId="9" borderId="7" xfId="0" applyFont="1" applyFill="1" applyBorder="1" applyAlignment="1">
      <alignment horizontal="center" vertical="center"/>
    </xf>
    <xf numFmtId="0" fontId="56" fillId="0" borderId="28" xfId="0" applyFont="1" applyBorder="1" applyAlignment="1">
      <alignment horizontal="center" vertical="center"/>
    </xf>
    <xf numFmtId="0" fontId="56" fillId="0" borderId="8" xfId="0" applyFont="1" applyBorder="1" applyAlignment="1">
      <alignment horizontal="center" vertical="center"/>
    </xf>
    <xf numFmtId="0" fontId="56" fillId="0" borderId="21" xfId="0" applyFont="1" applyBorder="1" applyAlignment="1">
      <alignment horizontal="center" vertical="center"/>
    </xf>
    <xf numFmtId="167" fontId="56" fillId="0" borderId="28" xfId="0" applyNumberFormat="1" applyFont="1" applyBorder="1" applyAlignment="1">
      <alignment horizontal="center" vertical="center"/>
    </xf>
    <xf numFmtId="167" fontId="56" fillId="0" borderId="8" xfId="0" applyNumberFormat="1" applyFont="1" applyBorder="1" applyAlignment="1">
      <alignment horizontal="center" vertical="center"/>
    </xf>
    <xf numFmtId="167" fontId="56" fillId="0" borderId="21" xfId="0" applyNumberFormat="1" applyFont="1" applyBorder="1" applyAlignment="1">
      <alignment horizontal="center" vertical="center"/>
    </xf>
    <xf numFmtId="43" fontId="118" fillId="0" borderId="30" xfId="0" applyNumberFormat="1" applyFont="1" applyBorder="1" applyAlignment="1">
      <alignment horizontal="left" vertical="center"/>
    </xf>
    <xf numFmtId="43" fontId="118" fillId="0" borderId="31" xfId="0" applyNumberFormat="1" applyFont="1" applyBorder="1" applyAlignment="1">
      <alignment horizontal="left" vertical="center"/>
    </xf>
    <xf numFmtId="43" fontId="118" fillId="0" borderId="66" xfId="0" applyNumberFormat="1" applyFont="1" applyBorder="1" applyAlignment="1">
      <alignment horizontal="left" vertical="center"/>
    </xf>
    <xf numFmtId="0" fontId="43" fillId="5" borderId="28" xfId="0" applyFont="1" applyFill="1" applyBorder="1" applyAlignment="1" applyProtection="1">
      <alignment horizontal="center" vertical="center"/>
      <protection locked="0"/>
    </xf>
    <xf numFmtId="0" fontId="43" fillId="5" borderId="9" xfId="0" applyFont="1" applyFill="1" applyBorder="1" applyAlignment="1" applyProtection="1">
      <alignment horizontal="center" vertical="center"/>
      <protection locked="0"/>
    </xf>
    <xf numFmtId="166" fontId="85" fillId="0" borderId="28" xfId="0" applyNumberFormat="1" applyFont="1" applyBorder="1" applyAlignment="1">
      <alignment horizontal="center" vertical="center"/>
    </xf>
    <xf numFmtId="166" fontId="85" fillId="0" borderId="9" xfId="0" applyNumberFormat="1" applyFont="1" applyBorder="1" applyAlignment="1">
      <alignment horizontal="center" vertical="center"/>
    </xf>
    <xf numFmtId="0" fontId="43" fillId="5" borderId="30" xfId="0" applyFont="1" applyFill="1" applyBorder="1" applyAlignment="1" applyProtection="1">
      <alignment horizontal="center" vertical="center"/>
      <protection locked="0"/>
    </xf>
    <xf numFmtId="0" fontId="43" fillId="5" borderId="34" xfId="0" applyFont="1" applyFill="1" applyBorder="1" applyAlignment="1" applyProtection="1">
      <alignment horizontal="center" vertical="center"/>
      <protection locked="0"/>
    </xf>
    <xf numFmtId="0" fontId="56" fillId="9" borderId="61" xfId="0" applyFont="1" applyFill="1" applyBorder="1" applyAlignment="1">
      <alignment horizontal="center" vertical="center"/>
    </xf>
    <xf numFmtId="0" fontId="80" fillId="8" borderId="80" xfId="0" applyFont="1" applyFill="1" applyBorder="1" applyAlignment="1">
      <alignment horizontal="center" vertical="center"/>
    </xf>
    <xf numFmtId="0" fontId="80" fillId="8" borderId="81" xfId="0" applyFont="1" applyFill="1" applyBorder="1" applyAlignment="1">
      <alignment horizontal="center" vertical="center"/>
    </xf>
    <xf numFmtId="0" fontId="80" fillId="8" borderId="82" xfId="0" applyFont="1" applyFill="1" applyBorder="1" applyAlignment="1">
      <alignment horizontal="center" vertical="center"/>
    </xf>
    <xf numFmtId="189" fontId="85" fillId="0" borderId="8" xfId="0" applyNumberFormat="1" applyFont="1" applyBorder="1" applyAlignment="1">
      <alignment horizontal="center" vertical="center"/>
    </xf>
    <xf numFmtId="0" fontId="84" fillId="9" borderId="28" xfId="0" applyFont="1" applyFill="1" applyBorder="1" applyAlignment="1">
      <alignment vertical="center"/>
    </xf>
    <xf numFmtId="0" fontId="84" fillId="9" borderId="8" xfId="0" applyFont="1" applyFill="1" applyBorder="1" applyAlignment="1">
      <alignment vertical="center"/>
    </xf>
    <xf numFmtId="0" fontId="78" fillId="0" borderId="0" xfId="0" applyFont="1" applyAlignment="1" applyProtection="1">
      <alignment horizontal="left" vertical="center"/>
    </xf>
    <xf numFmtId="0" fontId="77" fillId="0" borderId="0" xfId="0" applyFont="1" applyBorder="1" applyAlignment="1" applyProtection="1">
      <alignment horizontal="left" wrapText="1"/>
    </xf>
    <xf numFmtId="0" fontId="76" fillId="0" borderId="0" xfId="0" applyFont="1" applyBorder="1" applyAlignment="1" applyProtection="1">
      <alignment horizontal="left" wrapText="1"/>
    </xf>
    <xf numFmtId="0" fontId="84" fillId="9" borderId="30" xfId="0" applyFont="1" applyFill="1" applyBorder="1" applyAlignment="1">
      <alignment vertical="center"/>
    </xf>
    <xf numFmtId="0" fontId="84" fillId="9" borderId="31" xfId="0" applyFont="1" applyFill="1" applyBorder="1" applyAlignment="1">
      <alignment vertical="center"/>
    </xf>
    <xf numFmtId="0" fontId="63" fillId="8" borderId="53" xfId="0" applyFont="1" applyFill="1" applyBorder="1" applyAlignment="1">
      <alignment vertical="center"/>
    </xf>
    <xf numFmtId="172" fontId="63" fillId="8" borderId="53" xfId="0" applyNumberFormat="1" applyFont="1" applyFill="1" applyBorder="1" applyAlignment="1">
      <alignment vertical="center"/>
    </xf>
    <xf numFmtId="176" fontId="56" fillId="0" borderId="53" xfId="0" applyNumberFormat="1" applyFont="1" applyBorder="1" applyAlignment="1">
      <alignment vertical="center"/>
    </xf>
    <xf numFmtId="176" fontId="43" fillId="0" borderId="53" xfId="0" applyNumberFormat="1" applyFont="1" applyBorder="1" applyAlignment="1">
      <alignment vertical="center"/>
    </xf>
    <xf numFmtId="0" fontId="68" fillId="9" borderId="26" xfId="0" applyFont="1" applyFill="1" applyBorder="1" applyAlignment="1">
      <alignment horizontal="left" vertical="center"/>
    </xf>
    <xf numFmtId="0" fontId="68" fillId="9" borderId="7" xfId="0" applyFont="1" applyFill="1" applyBorder="1" applyAlignment="1">
      <alignment horizontal="left" vertical="center"/>
    </xf>
    <xf numFmtId="0" fontId="56" fillId="0" borderId="32" xfId="0" applyFont="1" applyFill="1" applyBorder="1" applyAlignment="1">
      <alignment horizontal="center" vertical="center"/>
    </xf>
    <xf numFmtId="0" fontId="56" fillId="0" borderId="38" xfId="0" applyFont="1" applyFill="1" applyBorder="1" applyAlignment="1">
      <alignment horizontal="center" vertical="center"/>
    </xf>
    <xf numFmtId="0" fontId="68" fillId="9" borderId="28" xfId="0" applyFont="1" applyFill="1" applyBorder="1" applyAlignment="1">
      <alignment horizontal="left" vertical="center"/>
    </xf>
    <xf numFmtId="0" fontId="68" fillId="9" borderId="9" xfId="0" applyFont="1" applyFill="1" applyBorder="1" applyAlignment="1">
      <alignment horizontal="left" vertical="center"/>
    </xf>
    <xf numFmtId="0" fontId="68" fillId="9" borderId="30" xfId="0" applyFont="1" applyFill="1" applyBorder="1" applyAlignment="1">
      <alignment horizontal="left" vertical="center"/>
    </xf>
    <xf numFmtId="0" fontId="68" fillId="9" borderId="34" xfId="0" applyFont="1" applyFill="1" applyBorder="1" applyAlignment="1">
      <alignment horizontal="left" vertical="center"/>
    </xf>
    <xf numFmtId="0" fontId="86" fillId="9" borderId="27" xfId="0" applyFont="1" applyFill="1" applyBorder="1" applyAlignment="1">
      <alignment vertical="center"/>
    </xf>
    <xf numFmtId="0" fontId="84" fillId="9" borderId="26" xfId="0" applyFont="1" applyFill="1" applyBorder="1" applyAlignment="1">
      <alignment vertical="center"/>
    </xf>
    <xf numFmtId="0" fontId="84" fillId="9" borderId="27" xfId="0" applyFont="1" applyFill="1" applyBorder="1" applyAlignment="1">
      <alignment vertical="center"/>
    </xf>
    <xf numFmtId="0" fontId="85" fillId="0" borderId="8" xfId="0" applyFont="1" applyBorder="1" applyAlignment="1">
      <alignment horizontal="center" vertical="center"/>
    </xf>
    <xf numFmtId="0" fontId="85" fillId="0" borderId="9" xfId="0" applyFont="1" applyBorder="1" applyAlignment="1">
      <alignment horizontal="center" vertical="center"/>
    </xf>
    <xf numFmtId="180" fontId="85" fillId="0" borderId="31" xfId="0" applyNumberFormat="1" applyFont="1" applyFill="1" applyBorder="1" applyAlignment="1" applyProtection="1">
      <alignment horizontal="center" vertical="center"/>
    </xf>
    <xf numFmtId="180" fontId="85" fillId="0" borderId="34" xfId="0" applyNumberFormat="1" applyFont="1" applyFill="1" applyBorder="1" applyAlignment="1" applyProtection="1">
      <alignment horizontal="center" vertical="center"/>
    </xf>
    <xf numFmtId="0" fontId="60" fillId="8" borderId="41" xfId="0" applyFont="1" applyFill="1" applyBorder="1" applyAlignment="1">
      <alignment horizontal="center" vertical="center"/>
    </xf>
    <xf numFmtId="0" fontId="84" fillId="9" borderId="66" xfId="0" applyFont="1" applyFill="1" applyBorder="1" applyAlignment="1">
      <alignment horizontal="left" vertical="center"/>
    </xf>
    <xf numFmtId="0" fontId="15" fillId="0" borderId="67" xfId="0" applyFont="1" applyBorder="1" applyAlignment="1">
      <alignment horizontal="center" vertical="center"/>
    </xf>
    <xf numFmtId="0" fontId="15" fillId="0" borderId="68" xfId="0" applyFont="1" applyBorder="1" applyAlignment="1">
      <alignment horizontal="center" vertical="center"/>
    </xf>
    <xf numFmtId="0" fontId="15" fillId="0" borderId="69" xfId="0" applyFont="1" applyBorder="1" applyAlignment="1">
      <alignment horizontal="center" vertical="center"/>
    </xf>
    <xf numFmtId="49" fontId="0" fillId="0" borderId="27" xfId="0" applyNumberFormat="1" applyFont="1" applyBorder="1" applyAlignment="1">
      <alignment horizontal="center" vertical="center"/>
    </xf>
    <xf numFmtId="49" fontId="0" fillId="0" borderId="7" xfId="0" applyNumberFormat="1" applyFont="1" applyBorder="1" applyAlignment="1">
      <alignment horizontal="center" vertical="center"/>
    </xf>
    <xf numFmtId="0" fontId="83" fillId="9" borderId="26" xfId="0" applyFont="1" applyFill="1" applyBorder="1" applyAlignment="1">
      <alignment horizontal="left" vertical="center"/>
    </xf>
    <xf numFmtId="0" fontId="83" fillId="9" borderId="27" xfId="0" applyFont="1" applyFill="1" applyBorder="1" applyAlignment="1">
      <alignment horizontal="left" vertical="center"/>
    </xf>
    <xf numFmtId="43" fontId="4" fillId="0" borderId="21" xfId="1" applyFont="1" applyFill="1" applyBorder="1" applyAlignment="1" applyProtection="1">
      <alignment horizontal="left" vertical="center" shrinkToFit="1"/>
    </xf>
    <xf numFmtId="43" fontId="4" fillId="0" borderId="22" xfId="1" applyFont="1" applyFill="1" applyBorder="1" applyAlignment="1" applyProtection="1">
      <alignment horizontal="left" vertical="center" shrinkToFit="1"/>
    </xf>
    <xf numFmtId="0" fontId="105" fillId="0" borderId="21" xfId="0" applyFont="1" applyFill="1" applyBorder="1" applyAlignment="1" applyProtection="1">
      <alignment horizontal="center" vertical="center"/>
    </xf>
    <xf numFmtId="0" fontId="105" fillId="0" borderId="20" xfId="0" applyFont="1" applyFill="1" applyBorder="1" applyAlignment="1" applyProtection="1">
      <alignment horizontal="center" vertical="center"/>
    </xf>
    <xf numFmtId="0" fontId="50" fillId="12" borderId="0" xfId="0" applyFont="1" applyFill="1" applyBorder="1" applyAlignment="1">
      <alignment horizontal="center" vertical="center"/>
    </xf>
    <xf numFmtId="0" fontId="37" fillId="0" borderId="0" xfId="0" applyFont="1" applyAlignment="1">
      <alignment horizontal="left" vertical="center" wrapText="1"/>
    </xf>
    <xf numFmtId="0" fontId="6" fillId="8" borderId="8" xfId="1" applyNumberFormat="1" applyFont="1" applyFill="1" applyBorder="1" applyAlignment="1" applyProtection="1">
      <alignment horizontal="left" vertical="center" shrinkToFit="1"/>
      <protection locked="0"/>
    </xf>
    <xf numFmtId="0" fontId="8" fillId="8" borderId="8" xfId="0" applyFont="1" applyFill="1" applyBorder="1" applyAlignment="1" applyProtection="1">
      <alignment horizontal="left" vertical="center" shrinkToFit="1"/>
      <protection locked="0"/>
    </xf>
    <xf numFmtId="0" fontId="0" fillId="8" borderId="8" xfId="0" applyFill="1" applyBorder="1" applyAlignment="1">
      <alignment vertical="center"/>
    </xf>
    <xf numFmtId="0" fontId="42" fillId="8" borderId="33" xfId="0" applyFont="1" applyFill="1" applyBorder="1" applyAlignment="1" applyProtection="1">
      <alignment horizontal="center" vertical="center" wrapText="1"/>
    </xf>
    <xf numFmtId="0" fontId="42" fillId="8" borderId="25" xfId="0" applyFont="1" applyFill="1" applyBorder="1" applyAlignment="1" applyProtection="1">
      <alignment horizontal="center" vertical="center"/>
    </xf>
    <xf numFmtId="0" fontId="42" fillId="8" borderId="23" xfId="0" applyFont="1" applyFill="1" applyBorder="1" applyAlignment="1" applyProtection="1">
      <alignment horizontal="center" vertical="center"/>
    </xf>
    <xf numFmtId="0" fontId="42" fillId="8" borderId="32" xfId="0" applyFont="1" applyFill="1" applyBorder="1" applyAlignment="1" applyProtection="1">
      <alignment horizontal="center" vertical="center"/>
    </xf>
    <xf numFmtId="0" fontId="42" fillId="8" borderId="0" xfId="0" applyFont="1" applyFill="1" applyBorder="1" applyAlignment="1" applyProtection="1">
      <alignment horizontal="center" vertical="center"/>
    </xf>
    <xf numFmtId="0" fontId="42" fillId="8" borderId="38" xfId="0" applyFont="1" applyFill="1" applyBorder="1" applyAlignment="1" applyProtection="1">
      <alignment horizontal="center" vertical="center"/>
    </xf>
    <xf numFmtId="0" fontId="42" fillId="8" borderId="16" xfId="0" applyFont="1" applyFill="1" applyBorder="1" applyAlignment="1" applyProtection="1">
      <alignment horizontal="center" vertical="center"/>
    </xf>
    <xf numFmtId="0" fontId="42" fillId="8" borderId="39" xfId="0" applyFont="1" applyFill="1" applyBorder="1" applyAlignment="1" applyProtection="1">
      <alignment horizontal="center" vertical="center"/>
    </xf>
    <xf numFmtId="0" fontId="42" fillId="8" borderId="40" xfId="0" applyFont="1" applyFill="1" applyBorder="1" applyAlignment="1" applyProtection="1">
      <alignment horizontal="center" vertical="center"/>
    </xf>
    <xf numFmtId="0" fontId="120" fillId="8" borderId="8" xfId="0" applyFont="1" applyFill="1" applyBorder="1" applyAlignment="1" applyProtection="1">
      <alignment horizontal="center" vertical="center" wrapText="1"/>
    </xf>
    <xf numFmtId="0" fontId="120" fillId="8" borderId="8" xfId="0" applyFont="1" applyFill="1" applyBorder="1" applyAlignment="1" applyProtection="1">
      <alignment horizontal="center" vertical="center"/>
    </xf>
    <xf numFmtId="186" fontId="9" fillId="0" borderId="8" xfId="1" applyNumberFormat="1" applyFont="1" applyFill="1" applyBorder="1" applyAlignment="1" applyProtection="1">
      <alignment horizontal="center" vertical="center" wrapText="1"/>
    </xf>
    <xf numFmtId="186" fontId="9" fillId="0" borderId="8" xfId="0" applyNumberFormat="1" applyFont="1" applyBorder="1" applyAlignment="1" applyProtection="1">
      <alignment horizontal="center" vertical="center" wrapText="1"/>
    </xf>
    <xf numFmtId="0" fontId="1" fillId="3" borderId="8" xfId="0" applyFont="1" applyFill="1" applyBorder="1" applyAlignment="1" applyProtection="1">
      <alignment horizontal="center" vertical="center" shrinkToFit="1"/>
      <protection locked="0"/>
    </xf>
    <xf numFmtId="0" fontId="1" fillId="3" borderId="21" xfId="0" applyFont="1" applyFill="1" applyBorder="1" applyAlignment="1" applyProtection="1">
      <alignment horizontal="center" vertical="center" shrinkToFit="1"/>
      <protection locked="0"/>
    </xf>
    <xf numFmtId="0" fontId="5" fillId="0" borderId="32" xfId="1" applyNumberFormat="1" applyFont="1" applyBorder="1" applyAlignment="1" applyProtection="1">
      <alignment vertical="center" shrinkToFit="1"/>
    </xf>
    <xf numFmtId="0" fontId="1" fillId="0" borderId="0" xfId="0" applyFont="1" applyBorder="1" applyAlignment="1" applyProtection="1">
      <alignment vertical="center" shrinkToFit="1"/>
    </xf>
    <xf numFmtId="0" fontId="7" fillId="0" borderId="25" xfId="0" applyFont="1" applyBorder="1" applyAlignment="1" applyProtection="1">
      <alignment vertical="center" wrapText="1"/>
    </xf>
    <xf numFmtId="0" fontId="0" fillId="0" borderId="25" xfId="0" applyBorder="1" applyAlignment="1">
      <alignment vertical="center" wrapText="1"/>
    </xf>
    <xf numFmtId="0" fontId="6" fillId="8" borderId="21" xfId="1" applyNumberFormat="1" applyFont="1" applyFill="1" applyBorder="1" applyAlignment="1" applyProtection="1">
      <alignment horizontal="left" vertical="center" shrinkToFit="1"/>
      <protection locked="0"/>
    </xf>
    <xf numFmtId="0" fontId="6" fillId="8" borderId="22" xfId="1" applyNumberFormat="1" applyFont="1" applyFill="1" applyBorder="1" applyAlignment="1" applyProtection="1">
      <alignment horizontal="left" vertical="center" shrinkToFit="1"/>
      <protection locked="0"/>
    </xf>
    <xf numFmtId="43" fontId="22" fillId="4" borderId="32" xfId="1" applyFont="1" applyFill="1" applyBorder="1" applyAlignment="1" applyProtection="1">
      <alignment horizontal="left" vertical="center"/>
    </xf>
    <xf numFmtId="43" fontId="22" fillId="4" borderId="0" xfId="1" applyFont="1" applyFill="1" applyBorder="1" applyAlignment="1" applyProtection="1">
      <alignment horizontal="left" vertical="center"/>
    </xf>
    <xf numFmtId="0" fontId="6" fillId="9" borderId="8" xfId="1" applyNumberFormat="1" applyFont="1" applyFill="1" applyBorder="1" applyAlignment="1" applyProtection="1">
      <alignment horizontal="left" vertical="center" shrinkToFit="1"/>
    </xf>
    <xf numFmtId="0" fontId="6" fillId="9" borderId="21" xfId="1" applyNumberFormat="1" applyFont="1" applyFill="1" applyBorder="1" applyAlignment="1" applyProtection="1">
      <alignment vertical="center" wrapText="1" shrinkToFit="1"/>
    </xf>
    <xf numFmtId="0" fontId="6" fillId="9" borderId="22" xfId="1" applyNumberFormat="1" applyFont="1" applyFill="1" applyBorder="1" applyAlignment="1" applyProtection="1">
      <alignment vertical="center" wrapText="1" shrinkToFit="1"/>
    </xf>
    <xf numFmtId="0" fontId="6" fillId="9" borderId="20" xfId="1" applyNumberFormat="1" applyFont="1" applyFill="1" applyBorder="1" applyAlignment="1" applyProtection="1">
      <alignment vertical="center" wrapText="1" shrinkToFit="1"/>
    </xf>
    <xf numFmtId="0" fontId="10" fillId="8" borderId="33" xfId="0" applyFont="1" applyFill="1" applyBorder="1" applyAlignment="1" applyProtection="1">
      <alignment horizontal="center" vertical="center"/>
    </xf>
    <xf numFmtId="0" fontId="10" fillId="8" borderId="25" xfId="0" applyFont="1" applyFill="1" applyBorder="1" applyAlignment="1" applyProtection="1">
      <alignment horizontal="center" vertical="center"/>
    </xf>
    <xf numFmtId="0" fontId="10" fillId="8" borderId="23" xfId="0" applyFont="1" applyFill="1" applyBorder="1" applyAlignment="1" applyProtection="1">
      <alignment horizontal="center" vertical="center"/>
    </xf>
    <xf numFmtId="0" fontId="10" fillId="8" borderId="16" xfId="0" applyFont="1" applyFill="1" applyBorder="1" applyAlignment="1" applyProtection="1">
      <alignment horizontal="center" vertical="center"/>
    </xf>
    <xf numFmtId="0" fontId="10" fillId="8" borderId="39" xfId="0" applyFont="1" applyFill="1" applyBorder="1" applyAlignment="1" applyProtection="1">
      <alignment horizontal="center" vertical="center"/>
    </xf>
    <xf numFmtId="0" fontId="10" fillId="8" borderId="40" xfId="0" applyFont="1" applyFill="1" applyBorder="1" applyAlignment="1" applyProtection="1">
      <alignment horizontal="center" vertical="center"/>
    </xf>
    <xf numFmtId="43" fontId="26" fillId="9" borderId="8" xfId="1" applyFont="1" applyFill="1" applyBorder="1" applyAlignment="1" applyProtection="1">
      <alignment vertical="center"/>
    </xf>
    <xf numFmtId="0" fontId="63" fillId="0" borderId="22" xfId="0" applyFont="1" applyFill="1" applyBorder="1" applyAlignment="1">
      <alignment horizontal="center"/>
    </xf>
    <xf numFmtId="0" fontId="63" fillId="0" borderId="20" xfId="0" applyFont="1" applyFill="1" applyBorder="1" applyAlignment="1">
      <alignment horizontal="center"/>
    </xf>
    <xf numFmtId="1" fontId="25" fillId="0" borderId="21" xfId="1" applyNumberFormat="1" applyFont="1" applyFill="1" applyBorder="1" applyAlignment="1" applyProtection="1">
      <alignment horizontal="center" vertical="center"/>
    </xf>
    <xf numFmtId="1" fontId="25" fillId="0" borderId="20" xfId="1" applyNumberFormat="1" applyFont="1" applyFill="1" applyBorder="1" applyAlignment="1" applyProtection="1">
      <alignment horizontal="center" vertical="center"/>
    </xf>
    <xf numFmtId="43" fontId="77" fillId="0" borderId="21" xfId="1" applyFont="1" applyFill="1" applyBorder="1" applyAlignment="1" applyProtection="1">
      <alignment horizontal="center" vertical="center" shrinkToFit="1"/>
    </xf>
    <xf numFmtId="43" fontId="77" fillId="0" borderId="22" xfId="1" applyFont="1" applyFill="1" applyBorder="1" applyAlignment="1" applyProtection="1">
      <alignment horizontal="center" vertical="center" shrinkToFit="1"/>
    </xf>
    <xf numFmtId="43" fontId="4" fillId="0" borderId="21" xfId="1" applyNumberFormat="1" applyFont="1" applyBorder="1" applyAlignment="1" applyProtection="1">
      <alignment horizontal="center" vertical="center"/>
      <protection hidden="1"/>
    </xf>
    <xf numFmtId="43" fontId="4" fillId="0" borderId="22" xfId="1" applyNumberFormat="1" applyFont="1" applyBorder="1" applyAlignment="1" applyProtection="1">
      <alignment horizontal="center" vertical="center"/>
      <protection hidden="1"/>
    </xf>
    <xf numFmtId="0" fontId="78" fillId="0" borderId="0" xfId="0" applyFont="1" applyAlignment="1" applyProtection="1">
      <alignment horizontal="left" vertical="top"/>
    </xf>
    <xf numFmtId="43" fontId="60" fillId="9" borderId="8" xfId="1" applyFont="1" applyFill="1" applyBorder="1" applyAlignment="1" applyProtection="1">
      <alignment horizontal="left" vertical="center"/>
    </xf>
    <xf numFmtId="0" fontId="0" fillId="0" borderId="8" xfId="0" applyBorder="1" applyAlignment="1" applyProtection="1">
      <alignment horizontal="center"/>
    </xf>
    <xf numFmtId="171" fontId="4" fillId="0" borderId="8" xfId="1" applyNumberFormat="1" applyFont="1" applyBorder="1" applyAlignment="1" applyProtection="1">
      <alignment horizontal="center" vertical="center" shrinkToFit="1"/>
      <protection hidden="1"/>
    </xf>
    <xf numFmtId="0" fontId="21" fillId="0" borderId="25" xfId="0" applyFont="1" applyBorder="1" applyAlignment="1" applyProtection="1">
      <alignment horizontal="center"/>
    </xf>
    <xf numFmtId="0" fontId="6" fillId="8" borderId="21" xfId="1" applyNumberFormat="1" applyFont="1" applyFill="1" applyBorder="1" applyAlignment="1" applyProtection="1">
      <alignment horizontal="center" vertical="center" shrinkToFit="1"/>
      <protection locked="0"/>
    </xf>
    <xf numFmtId="0" fontId="6" fillId="8" borderId="20" xfId="1" applyNumberFormat="1" applyFont="1" applyFill="1" applyBorder="1" applyAlignment="1" applyProtection="1">
      <alignment horizontal="center" vertical="center" shrinkToFit="1"/>
      <protection locked="0"/>
    </xf>
    <xf numFmtId="0" fontId="120" fillId="8" borderId="21" xfId="0" applyFont="1" applyFill="1" applyBorder="1" applyAlignment="1" applyProtection="1">
      <alignment horizontal="center" vertical="center" wrapText="1"/>
    </xf>
    <xf numFmtId="0" fontId="120" fillId="8" borderId="22" xfId="0" applyFont="1" applyFill="1" applyBorder="1" applyAlignment="1" applyProtection="1">
      <alignment horizontal="center" vertical="center" wrapText="1"/>
    </xf>
    <xf numFmtId="0" fontId="40" fillId="0" borderId="0" xfId="0" applyFont="1" applyAlignment="1" applyProtection="1">
      <alignment horizontal="left" vertical="center" wrapText="1"/>
    </xf>
    <xf numFmtId="0" fontId="50" fillId="0" borderId="0" xfId="0" applyFont="1" applyFill="1" applyBorder="1" applyAlignment="1">
      <alignment horizontal="center" vertical="center"/>
    </xf>
    <xf numFmtId="0" fontId="15" fillId="0" borderId="0" xfId="0" applyFont="1" applyBorder="1" applyAlignment="1" applyProtection="1">
      <alignment horizontal="left" vertical="center"/>
    </xf>
    <xf numFmtId="0" fontId="29" fillId="32" borderId="0" xfId="0" applyFont="1" applyFill="1" applyBorder="1" applyAlignment="1" applyProtection="1">
      <alignment horizontal="left" vertical="center"/>
      <protection locked="0"/>
    </xf>
    <xf numFmtId="0" fontId="29" fillId="32" borderId="2" xfId="0" applyFont="1" applyFill="1" applyBorder="1" applyAlignment="1" applyProtection="1">
      <alignment horizontal="left" vertical="center"/>
      <protection locked="0"/>
    </xf>
    <xf numFmtId="0" fontId="15" fillId="0" borderId="0" xfId="0" applyFont="1" applyFill="1" applyAlignment="1" applyProtection="1">
      <alignment horizontal="left" vertical="center"/>
    </xf>
    <xf numFmtId="166" fontId="31" fillId="0" borderId="20" xfId="0" applyNumberFormat="1" applyFont="1" applyBorder="1" applyAlignment="1">
      <alignment horizontal="center" vertical="center"/>
    </xf>
    <xf numFmtId="166" fontId="31" fillId="0" borderId="21" xfId="0" applyNumberFormat="1" applyFont="1" applyBorder="1" applyAlignment="1">
      <alignment horizontal="center" vertical="center"/>
    </xf>
    <xf numFmtId="0" fontId="49" fillId="12" borderId="63" xfId="0" applyFont="1" applyFill="1" applyBorder="1" applyAlignment="1">
      <alignment horizontal="center" vertical="center"/>
    </xf>
    <xf numFmtId="0" fontId="49" fillId="12" borderId="64" xfId="0" applyFont="1" applyFill="1" applyBorder="1" applyAlignment="1">
      <alignment horizontal="center" vertical="center"/>
    </xf>
    <xf numFmtId="0" fontId="49" fillId="12" borderId="65" xfId="0" applyFont="1" applyFill="1" applyBorder="1" applyAlignment="1">
      <alignment horizontal="center" vertical="center"/>
    </xf>
    <xf numFmtId="3" fontId="29" fillId="0" borderId="28" xfId="0" applyNumberFormat="1" applyFont="1" applyBorder="1" applyAlignment="1">
      <alignment horizontal="center" vertical="center"/>
    </xf>
    <xf numFmtId="3" fontId="29" fillId="0" borderId="9" xfId="0" applyNumberFormat="1" applyFont="1" applyBorder="1" applyAlignment="1">
      <alignment horizontal="center" vertical="center"/>
    </xf>
    <xf numFmtId="3" fontId="31" fillId="0" borderId="28" xfId="0" applyNumberFormat="1" applyFont="1" applyFill="1" applyBorder="1" applyAlignment="1">
      <alignment horizontal="center" vertical="center"/>
    </xf>
    <xf numFmtId="3" fontId="31" fillId="0" borderId="9" xfId="0" applyNumberFormat="1" applyFont="1" applyFill="1" applyBorder="1" applyAlignment="1">
      <alignment horizontal="center" vertical="center"/>
    </xf>
    <xf numFmtId="3" fontId="31" fillId="0" borderId="28" xfId="0" applyNumberFormat="1" applyFont="1" applyBorder="1" applyAlignment="1">
      <alignment horizontal="center" vertical="center"/>
    </xf>
    <xf numFmtId="3" fontId="31" fillId="0" borderId="9" xfId="0" applyNumberFormat="1" applyFont="1" applyBorder="1" applyAlignment="1">
      <alignment horizontal="center" vertical="center"/>
    </xf>
    <xf numFmtId="186" fontId="20" fillId="0" borderId="30" xfId="0" applyNumberFormat="1" applyFont="1" applyBorder="1" applyAlignment="1">
      <alignment horizontal="center" vertical="center"/>
    </xf>
    <xf numFmtId="186" fontId="20" fillId="0" borderId="34" xfId="0" applyNumberFormat="1" applyFont="1" applyBorder="1" applyAlignment="1">
      <alignment horizontal="center" vertical="center"/>
    </xf>
    <xf numFmtId="0" fontId="59" fillId="9" borderId="6" xfId="0" applyFont="1" applyFill="1" applyBorder="1" applyAlignment="1">
      <alignment horizontal="left" vertical="center"/>
    </xf>
    <xf numFmtId="0" fontId="59" fillId="9" borderId="17" xfId="0" applyFont="1" applyFill="1" applyBorder="1" applyAlignment="1">
      <alignment horizontal="left" vertical="center"/>
    </xf>
    <xf numFmtId="0" fontId="59" fillId="9" borderId="19" xfId="0" applyFont="1" applyFill="1" applyBorder="1" applyAlignment="1">
      <alignment horizontal="left" vertical="center"/>
    </xf>
    <xf numFmtId="0" fontId="31" fillId="0" borderId="8" xfId="0" applyFont="1" applyBorder="1" applyAlignment="1">
      <alignment horizontal="left" vertical="center"/>
    </xf>
    <xf numFmtId="166" fontId="31" fillId="0" borderId="40" xfId="0" applyNumberFormat="1" applyFont="1" applyBorder="1" applyAlignment="1">
      <alignment horizontal="center" vertical="center"/>
    </xf>
    <xf numFmtId="166" fontId="31" fillId="0" borderId="16" xfId="0" applyNumberFormat="1" applyFont="1" applyBorder="1" applyAlignment="1">
      <alignment horizontal="center" vertical="center"/>
    </xf>
    <xf numFmtId="43" fontId="31" fillId="0" borderId="4" xfId="0" applyNumberFormat="1" applyFont="1" applyBorder="1" applyAlignment="1">
      <alignment horizontal="center" vertical="center"/>
    </xf>
    <xf numFmtId="43" fontId="31" fillId="0" borderId="15" xfId="0" applyNumberFormat="1" applyFont="1" applyBorder="1" applyAlignment="1">
      <alignment horizontal="center" vertical="center"/>
    </xf>
    <xf numFmtId="43" fontId="31" fillId="0" borderId="5" xfId="0" applyNumberFormat="1" applyFont="1" applyBorder="1" applyAlignment="1">
      <alignment horizontal="center" vertical="center"/>
    </xf>
    <xf numFmtId="0" fontId="123" fillId="8" borderId="15" xfId="0" applyFont="1" applyFill="1" applyBorder="1" applyAlignment="1">
      <alignment horizontal="center" vertical="center"/>
    </xf>
    <xf numFmtId="0" fontId="123" fillId="8" borderId="5" xfId="0" applyFont="1" applyFill="1" applyBorder="1" applyAlignment="1">
      <alignment horizontal="center" vertical="center"/>
    </xf>
    <xf numFmtId="3" fontId="31" fillId="0" borderId="6" xfId="0" applyNumberFormat="1" applyFont="1" applyBorder="1" applyAlignment="1">
      <alignment horizontal="center" vertical="center"/>
    </xf>
    <xf numFmtId="3" fontId="31" fillId="0" borderId="19" xfId="0" applyNumberFormat="1" applyFont="1" applyBorder="1" applyAlignment="1">
      <alignment horizontal="center" vertical="center"/>
    </xf>
    <xf numFmtId="0" fontId="0" fillId="0" borderId="24" xfId="0" applyFont="1" applyFill="1" applyBorder="1" applyAlignment="1" applyProtection="1">
      <alignment horizontal="justify" vertical="center" wrapText="1"/>
    </xf>
    <xf numFmtId="0" fontId="0" fillId="0" borderId="0" xfId="0" applyFont="1" applyFill="1" applyBorder="1" applyAlignment="1" applyProtection="1">
      <alignment horizontal="justify" vertical="center" wrapText="1"/>
    </xf>
    <xf numFmtId="0" fontId="0" fillId="0" borderId="2" xfId="0" applyFont="1" applyFill="1" applyBorder="1" applyAlignment="1" applyProtection="1">
      <alignment horizontal="justify" vertical="center" wrapText="1"/>
    </xf>
    <xf numFmtId="0" fontId="0" fillId="0" borderId="36" xfId="0" applyFont="1" applyFill="1" applyBorder="1" applyAlignment="1" applyProtection="1">
      <alignment horizontal="justify" vertical="center" wrapText="1"/>
    </xf>
    <xf numFmtId="0" fontId="0" fillId="0" borderId="10" xfId="0" applyFont="1" applyFill="1" applyBorder="1" applyAlignment="1" applyProtection="1">
      <alignment horizontal="justify" vertical="center" wrapText="1"/>
    </xf>
    <xf numFmtId="0" fontId="0" fillId="0" borderId="37" xfId="0" applyFont="1" applyFill="1" applyBorder="1" applyAlignment="1" applyProtection="1">
      <alignment horizontal="justify" vertical="center" wrapText="1"/>
    </xf>
    <xf numFmtId="43" fontId="21" fillId="0" borderId="0" xfId="0" applyNumberFormat="1" applyFont="1" applyFill="1" applyBorder="1" applyAlignment="1" applyProtection="1">
      <alignment horizontal="left" vertical="center"/>
    </xf>
    <xf numFmtId="43" fontId="21" fillId="0" borderId="2" xfId="0" applyNumberFormat="1" applyFont="1" applyFill="1" applyBorder="1" applyAlignment="1" applyProtection="1">
      <alignment horizontal="left" vertical="center"/>
    </xf>
    <xf numFmtId="0" fontId="31" fillId="9" borderId="28" xfId="0" applyFont="1" applyFill="1" applyBorder="1" applyAlignment="1">
      <alignment horizontal="left" vertical="center"/>
    </xf>
    <xf numFmtId="0" fontId="31" fillId="9" borderId="8" xfId="0" applyFont="1" applyFill="1" applyBorder="1" applyAlignment="1">
      <alignment horizontal="left" vertical="center"/>
    </xf>
    <xf numFmtId="0" fontId="31" fillId="9" borderId="9" xfId="0" applyFont="1" applyFill="1" applyBorder="1" applyAlignment="1">
      <alignment horizontal="left" vertical="center"/>
    </xf>
    <xf numFmtId="0" fontId="48" fillId="0" borderId="47" xfId="0" applyFont="1" applyBorder="1" applyAlignment="1">
      <alignment horizontal="center" vertical="center"/>
    </xf>
    <xf numFmtId="0" fontId="48" fillId="0" borderId="25" xfId="0" applyFont="1" applyBorder="1" applyAlignment="1">
      <alignment horizontal="center" vertical="center"/>
    </xf>
    <xf numFmtId="0" fontId="20" fillId="0" borderId="25" xfId="0" applyFont="1" applyBorder="1" applyAlignment="1">
      <alignment horizontal="center" vertical="center"/>
    </xf>
    <xf numFmtId="0" fontId="56" fillId="32" borderId="26" xfId="0" applyNumberFormat="1" applyFont="1" applyFill="1" applyBorder="1" applyAlignment="1" applyProtection="1">
      <alignment horizontal="left" vertical="top" wrapText="1"/>
      <protection locked="0"/>
    </xf>
    <xf numFmtId="0" fontId="56" fillId="32" borderId="27" xfId="0" applyNumberFormat="1" applyFont="1" applyFill="1" applyBorder="1" applyAlignment="1" applyProtection="1">
      <alignment horizontal="left" vertical="top" wrapText="1"/>
      <protection locked="0"/>
    </xf>
    <xf numFmtId="0" fontId="56" fillId="32" borderId="7" xfId="0" applyNumberFormat="1" applyFont="1" applyFill="1" applyBorder="1" applyAlignment="1" applyProtection="1">
      <alignment horizontal="left" vertical="top" wrapText="1"/>
      <protection locked="0"/>
    </xf>
    <xf numFmtId="0" fontId="56" fillId="32" borderId="30" xfId="0" applyNumberFormat="1" applyFont="1" applyFill="1" applyBorder="1" applyAlignment="1" applyProtection="1">
      <alignment horizontal="left" vertical="top" wrapText="1"/>
      <protection locked="0"/>
    </xf>
    <xf numFmtId="0" fontId="56" fillId="32" borderId="31" xfId="0" applyNumberFormat="1" applyFont="1" applyFill="1" applyBorder="1" applyAlignment="1" applyProtection="1">
      <alignment horizontal="left" vertical="top" wrapText="1"/>
      <protection locked="0"/>
    </xf>
    <xf numFmtId="0" fontId="56" fillId="32" borderId="34" xfId="0" applyNumberFormat="1" applyFont="1" applyFill="1" applyBorder="1" applyAlignment="1" applyProtection="1">
      <alignment horizontal="left" vertical="top" wrapText="1"/>
      <protection locked="0"/>
    </xf>
    <xf numFmtId="0" fontId="83" fillId="0" borderId="48" xfId="0" applyFont="1" applyFill="1" applyBorder="1" applyAlignment="1">
      <alignment horizontal="justify" vertical="center" wrapText="1"/>
    </xf>
    <xf numFmtId="0" fontId="83" fillId="0" borderId="50" xfId="0" applyFont="1" applyFill="1" applyBorder="1" applyAlignment="1">
      <alignment horizontal="justify" vertical="center" wrapText="1"/>
    </xf>
    <xf numFmtId="0" fontId="83" fillId="0" borderId="54" xfId="0" applyFont="1" applyFill="1" applyBorder="1" applyAlignment="1">
      <alignment horizontal="justify" vertical="center" wrapText="1"/>
    </xf>
    <xf numFmtId="0" fontId="25" fillId="8" borderId="60" xfId="0" applyFont="1" applyFill="1" applyBorder="1" applyAlignment="1" applyProtection="1">
      <alignment horizontal="left" vertical="center" wrapText="1"/>
    </xf>
    <xf numFmtId="0" fontId="25" fillId="8" borderId="41" xfId="0" applyFont="1" applyFill="1" applyBorder="1" applyAlignment="1" applyProtection="1">
      <alignment horizontal="left" vertical="center" wrapText="1"/>
    </xf>
    <xf numFmtId="0" fontId="25" fillId="8" borderId="55" xfId="0" applyFont="1" applyFill="1" applyBorder="1" applyAlignment="1" applyProtection="1">
      <alignment horizontal="left" vertical="center" wrapText="1"/>
    </xf>
    <xf numFmtId="0" fontId="21" fillId="0" borderId="26" xfId="0" applyFont="1" applyFill="1" applyBorder="1" applyAlignment="1" applyProtection="1">
      <alignment horizontal="center" vertical="center" wrapText="1"/>
    </xf>
    <xf numFmtId="0" fontId="21" fillId="0" borderId="27" xfId="0" applyFont="1" applyFill="1" applyBorder="1" applyAlignment="1" applyProtection="1">
      <alignment horizontal="center" vertical="center" wrapText="1"/>
    </xf>
    <xf numFmtId="0" fontId="21" fillId="0" borderId="30" xfId="0" applyFont="1" applyFill="1" applyBorder="1" applyAlignment="1" applyProtection="1">
      <alignment horizontal="center" vertical="center" wrapText="1"/>
    </xf>
    <xf numFmtId="0" fontId="21" fillId="0" borderId="31" xfId="0" applyFont="1" applyFill="1" applyBorder="1" applyAlignment="1" applyProtection="1">
      <alignment horizontal="center" vertical="center" wrapText="1"/>
    </xf>
    <xf numFmtId="165" fontId="21" fillId="0" borderId="27" xfId="0" applyNumberFormat="1" applyFont="1" applyFill="1" applyBorder="1" applyAlignment="1" applyProtection="1">
      <alignment horizontal="left" vertical="center" wrapText="1"/>
    </xf>
    <xf numFmtId="165" fontId="21" fillId="0" borderId="7" xfId="0" applyNumberFormat="1" applyFont="1" applyFill="1" applyBorder="1" applyAlignment="1" applyProtection="1">
      <alignment horizontal="left" vertical="center" wrapText="1"/>
    </xf>
    <xf numFmtId="165" fontId="21" fillId="0" borderId="31" xfId="0" applyNumberFormat="1" applyFont="1" applyFill="1" applyBorder="1" applyAlignment="1" applyProtection="1">
      <alignment horizontal="left" vertical="center" wrapText="1"/>
    </xf>
    <xf numFmtId="165" fontId="21" fillId="0" borderId="34" xfId="0" applyNumberFormat="1" applyFont="1" applyFill="1" applyBorder="1" applyAlignment="1" applyProtection="1">
      <alignment horizontal="left" vertical="center" wrapText="1"/>
    </xf>
    <xf numFmtId="0" fontId="29" fillId="32" borderId="10" xfId="0" applyFont="1" applyFill="1" applyBorder="1" applyAlignment="1" applyProtection="1">
      <alignment horizontal="left" vertical="center"/>
      <protection locked="0"/>
    </xf>
    <xf numFmtId="0" fontId="29" fillId="32" borderId="37" xfId="0" applyFont="1" applyFill="1" applyBorder="1" applyAlignment="1" applyProtection="1">
      <alignment horizontal="left" vertical="center"/>
      <protection locked="0"/>
    </xf>
    <xf numFmtId="0" fontId="52" fillId="4" borderId="11" xfId="0" applyFont="1" applyFill="1" applyBorder="1" applyAlignment="1">
      <alignment horizontal="left" vertical="center"/>
    </xf>
    <xf numFmtId="0" fontId="52" fillId="4" borderId="13" xfId="0" applyFont="1" applyFill="1" applyBorder="1" applyAlignment="1">
      <alignment horizontal="left" vertical="center"/>
    </xf>
    <xf numFmtId="0" fontId="15" fillId="8" borderId="31" xfId="0" applyFont="1" applyFill="1" applyBorder="1" applyAlignment="1" applyProtection="1">
      <alignment horizontal="left" vertical="center"/>
      <protection locked="0"/>
    </xf>
    <xf numFmtId="0" fontId="15" fillId="8" borderId="34" xfId="0" applyFont="1" applyFill="1" applyBorder="1" applyAlignment="1" applyProtection="1">
      <alignment horizontal="left" vertical="center"/>
      <protection locked="0"/>
    </xf>
    <xf numFmtId="0" fontId="83" fillId="0" borderId="47" xfId="0" applyFont="1" applyBorder="1" applyAlignment="1">
      <alignment horizontal="justify" vertical="center" wrapText="1"/>
    </xf>
    <xf numFmtId="0" fontId="83" fillId="0" borderId="25" xfId="0" applyFont="1" applyBorder="1" applyAlignment="1">
      <alignment horizontal="justify" vertical="center" wrapText="1"/>
    </xf>
    <xf numFmtId="0" fontId="83" fillId="0" borderId="45" xfId="0" applyFont="1" applyBorder="1" applyAlignment="1">
      <alignment horizontal="justify" vertical="center" wrapText="1"/>
    </xf>
    <xf numFmtId="0" fontId="83" fillId="0" borderId="24" xfId="0" applyFont="1" applyBorder="1" applyAlignment="1">
      <alignment horizontal="justify" vertical="center" wrapText="1"/>
    </xf>
    <xf numFmtId="0" fontId="83" fillId="0" borderId="0" xfId="0" applyFont="1" applyBorder="1" applyAlignment="1">
      <alignment horizontal="justify" vertical="center" wrapText="1"/>
    </xf>
    <xf numFmtId="0" fontId="83" fillId="0" borderId="2" xfId="0" applyFont="1" applyBorder="1" applyAlignment="1">
      <alignment horizontal="justify" vertical="center" wrapText="1"/>
    </xf>
    <xf numFmtId="0" fontId="83" fillId="0" borderId="36" xfId="0" applyFont="1" applyBorder="1" applyAlignment="1">
      <alignment horizontal="justify" vertical="center" wrapText="1"/>
    </xf>
    <xf numFmtId="0" fontId="83" fillId="0" borderId="10" xfId="0" applyFont="1" applyBorder="1" applyAlignment="1">
      <alignment horizontal="justify" vertical="center" wrapText="1"/>
    </xf>
    <xf numFmtId="0" fontId="83" fillId="0" borderId="37" xfId="0" applyFont="1" applyBorder="1" applyAlignment="1">
      <alignment horizontal="justify" vertical="center" wrapText="1"/>
    </xf>
    <xf numFmtId="0" fontId="51" fillId="0" borderId="0" xfId="0" applyFont="1" applyAlignment="1">
      <alignment horizontal="center" vertical="center"/>
    </xf>
    <xf numFmtId="0" fontId="123" fillId="8" borderId="48" xfId="0" applyFont="1" applyFill="1" applyBorder="1" applyAlignment="1">
      <alignment horizontal="center" vertical="center"/>
    </xf>
    <xf numFmtId="0" fontId="123" fillId="8" borderId="50" xfId="0" applyFont="1" applyFill="1" applyBorder="1" applyAlignment="1">
      <alignment horizontal="center" vertical="center"/>
    </xf>
    <xf numFmtId="0" fontId="31" fillId="32" borderId="28" xfId="0" applyFont="1" applyFill="1" applyBorder="1" applyAlignment="1" applyProtection="1">
      <alignment vertical="center" wrapText="1"/>
      <protection locked="0"/>
    </xf>
    <xf numFmtId="0" fontId="31" fillId="32" borderId="8" xfId="0" applyFont="1" applyFill="1" applyBorder="1" applyAlignment="1" applyProtection="1">
      <alignment vertical="center" wrapText="1"/>
      <protection locked="0"/>
    </xf>
    <xf numFmtId="0" fontId="31" fillId="32" borderId="21" xfId="0" applyFont="1" applyFill="1" applyBorder="1" applyAlignment="1" applyProtection="1">
      <alignment vertical="center" wrapText="1"/>
      <protection locked="0"/>
    </xf>
    <xf numFmtId="0" fontId="31" fillId="32" borderId="20" xfId="0" applyFont="1" applyFill="1" applyBorder="1" applyAlignment="1" applyProtection="1">
      <alignment vertical="center" wrapText="1"/>
      <protection locked="0"/>
    </xf>
    <xf numFmtId="0" fontId="121" fillId="8" borderId="0" xfId="0" applyFont="1" applyFill="1" applyAlignment="1">
      <alignment horizontal="center" vertical="center"/>
    </xf>
    <xf numFmtId="0" fontId="31" fillId="0" borderId="8" xfId="0" applyFont="1" applyBorder="1" applyAlignment="1">
      <alignment horizontal="center" vertical="center"/>
    </xf>
    <xf numFmtId="0" fontId="55" fillId="0" borderId="0" xfId="0" applyFont="1" applyAlignment="1">
      <alignment horizontal="left" vertical="center" wrapText="1"/>
    </xf>
    <xf numFmtId="0" fontId="31" fillId="0" borderId="17" xfId="0" applyFont="1" applyBorder="1" applyAlignment="1">
      <alignment horizontal="left" vertical="center"/>
    </xf>
    <xf numFmtId="0" fontId="54" fillId="0" borderId="17" xfId="0" applyFont="1" applyBorder="1" applyAlignment="1">
      <alignment horizontal="left" vertical="center"/>
    </xf>
    <xf numFmtId="0" fontId="123" fillId="8" borderId="4" xfId="0" applyFont="1" applyFill="1" applyBorder="1" applyAlignment="1">
      <alignment horizontal="left" vertical="center"/>
    </xf>
    <xf numFmtId="0" fontId="123" fillId="8" borderId="15" xfId="0" applyFont="1" applyFill="1" applyBorder="1" applyAlignment="1">
      <alignment horizontal="left" vertical="center"/>
    </xf>
    <xf numFmtId="0" fontId="123" fillId="8" borderId="5" xfId="0" applyFont="1" applyFill="1" applyBorder="1" applyAlignment="1">
      <alignment horizontal="left" vertical="center"/>
    </xf>
    <xf numFmtId="0" fontId="119" fillId="8" borderId="25" xfId="0" applyFont="1" applyFill="1" applyBorder="1" applyAlignment="1">
      <alignment horizontal="left" vertical="center"/>
    </xf>
    <xf numFmtId="0" fontId="59" fillId="5" borderId="21" xfId="0" applyNumberFormat="1" applyFont="1" applyFill="1" applyBorder="1" applyAlignment="1">
      <alignment horizontal="left" vertical="center"/>
    </xf>
    <xf numFmtId="0" fontId="59" fillId="5" borderId="20" xfId="0" applyNumberFormat="1" applyFont="1" applyFill="1" applyBorder="1" applyAlignment="1">
      <alignment horizontal="left" vertical="center"/>
    </xf>
    <xf numFmtId="190" fontId="31" fillId="0" borderId="8" xfId="0" applyNumberFormat="1" applyFont="1" applyBorder="1" applyAlignment="1">
      <alignment horizontal="left" vertical="center"/>
    </xf>
    <xf numFmtId="0" fontId="124" fillId="8" borderId="15" xfId="0" applyFont="1" applyFill="1" applyBorder="1" applyAlignment="1">
      <alignment horizontal="center" vertical="center"/>
    </xf>
    <xf numFmtId="0" fontId="125" fillId="8" borderId="15" xfId="0" applyFont="1" applyFill="1" applyBorder="1" applyAlignment="1">
      <alignment horizontal="center" vertical="center"/>
    </xf>
    <xf numFmtId="166" fontId="31" fillId="0" borderId="8" xfId="0" applyNumberFormat="1" applyFont="1" applyBorder="1" applyAlignment="1">
      <alignment horizontal="center" vertical="center"/>
    </xf>
    <xf numFmtId="0" fontId="31" fillId="0" borderId="17" xfId="0" applyFont="1" applyBorder="1" applyAlignment="1">
      <alignment horizontal="center" vertical="center"/>
    </xf>
    <xf numFmtId="0" fontId="31" fillId="9" borderId="30" xfId="0" applyFont="1" applyFill="1" applyBorder="1" applyAlignment="1">
      <alignment horizontal="left" vertical="center"/>
    </xf>
    <xf numFmtId="0" fontId="31" fillId="9" borderId="31" xfId="0" applyFont="1" applyFill="1" applyBorder="1" applyAlignment="1">
      <alignment horizontal="left" vertical="center"/>
    </xf>
    <xf numFmtId="0" fontId="31" fillId="9" borderId="34" xfId="0" applyFont="1" applyFill="1" applyBorder="1" applyAlignment="1">
      <alignment horizontal="left" vertical="center"/>
    </xf>
    <xf numFmtId="0" fontId="75" fillId="0" borderId="0" xfId="0" applyFont="1" applyAlignment="1">
      <alignment horizontal="center" vertical="center"/>
    </xf>
    <xf numFmtId="0" fontId="15" fillId="0" borderId="8" xfId="0" applyFont="1" applyFill="1" applyBorder="1" applyAlignment="1" applyProtection="1">
      <alignment horizontal="left" vertical="center"/>
    </xf>
    <xf numFmtId="0" fontId="15" fillId="32" borderId="18" xfId="0" applyFont="1" applyFill="1" applyBorder="1" applyAlignment="1" applyProtection="1">
      <alignment horizontal="left" vertical="center"/>
      <protection locked="0"/>
    </xf>
    <xf numFmtId="0" fontId="112" fillId="0" borderId="11" xfId="0" applyFont="1" applyFill="1" applyBorder="1" applyAlignment="1" applyProtection="1">
      <alignment horizontal="left" vertical="center"/>
    </xf>
    <xf numFmtId="0" fontId="112" fillId="0" borderId="13" xfId="0" applyFont="1" applyFill="1" applyBorder="1" applyAlignment="1" applyProtection="1">
      <alignment horizontal="left" vertical="center"/>
    </xf>
    <xf numFmtId="0" fontId="112" fillId="0" borderId="14" xfId="0" applyFont="1" applyFill="1" applyBorder="1" applyAlignment="1" applyProtection="1">
      <alignment horizontal="left" vertical="center"/>
    </xf>
    <xf numFmtId="0" fontId="123" fillId="8" borderId="63" xfId="0" applyFont="1" applyFill="1" applyBorder="1" applyAlignment="1">
      <alignment horizontal="left" vertical="center"/>
    </xf>
    <xf numFmtId="0" fontId="123" fillId="8" borderId="64" xfId="0" applyFont="1" applyFill="1" applyBorder="1" applyAlignment="1">
      <alignment horizontal="left" vertical="center"/>
    </xf>
    <xf numFmtId="0" fontId="123" fillId="8" borderId="65" xfId="0" applyFont="1" applyFill="1" applyBorder="1" applyAlignment="1">
      <alignment horizontal="left" vertical="center"/>
    </xf>
    <xf numFmtId="0" fontId="121" fillId="8" borderId="0" xfId="0" applyFont="1" applyFill="1" applyAlignment="1">
      <alignment horizontal="left" vertical="center"/>
    </xf>
    <xf numFmtId="0" fontId="31" fillId="0" borderId="26" xfId="0" applyNumberFormat="1" applyFont="1" applyFill="1" applyBorder="1" applyAlignment="1" applyProtection="1">
      <alignment horizontal="left" vertical="top" wrapText="1"/>
    </xf>
    <xf numFmtId="0" fontId="31" fillId="0" borderId="27" xfId="0" applyNumberFormat="1" applyFont="1" applyFill="1" applyBorder="1" applyAlignment="1" applyProtection="1">
      <alignment horizontal="left" vertical="top" wrapText="1"/>
    </xf>
    <xf numFmtId="0" fontId="31" fillId="0" borderId="7" xfId="0" applyNumberFormat="1" applyFont="1" applyFill="1" applyBorder="1" applyAlignment="1" applyProtection="1">
      <alignment horizontal="left" vertical="top" wrapText="1"/>
    </xf>
    <xf numFmtId="0" fontId="31" fillId="0" borderId="28" xfId="0" applyNumberFormat="1" applyFont="1" applyFill="1" applyBorder="1" applyAlignment="1" applyProtection="1">
      <alignment horizontal="left" vertical="top" wrapText="1"/>
    </xf>
    <xf numFmtId="0" fontId="31" fillId="0" borderId="8" xfId="0" applyNumberFormat="1" applyFont="1" applyFill="1" applyBorder="1" applyAlignment="1" applyProtection="1">
      <alignment horizontal="left" vertical="top" wrapText="1"/>
    </xf>
    <xf numFmtId="0" fontId="31" fillId="0" borderId="9" xfId="0" applyNumberFormat="1" applyFont="1" applyFill="1" applyBorder="1" applyAlignment="1" applyProtection="1">
      <alignment horizontal="left" vertical="top" wrapText="1"/>
    </xf>
    <xf numFmtId="0" fontId="31" fillId="0" borderId="30" xfId="0" applyNumberFormat="1" applyFont="1" applyFill="1" applyBorder="1" applyAlignment="1" applyProtection="1">
      <alignment horizontal="left" vertical="top" wrapText="1"/>
    </xf>
    <xf numFmtId="0" fontId="31" fillId="0" borderId="31" xfId="0" applyNumberFormat="1" applyFont="1" applyFill="1" applyBorder="1" applyAlignment="1" applyProtection="1">
      <alignment horizontal="left" vertical="top" wrapText="1"/>
    </xf>
    <xf numFmtId="0" fontId="31" fillId="0" borderId="34" xfId="0" applyNumberFormat="1" applyFont="1" applyFill="1" applyBorder="1" applyAlignment="1" applyProtection="1">
      <alignment horizontal="left" vertical="top" wrapText="1"/>
    </xf>
    <xf numFmtId="0" fontId="0" fillId="0" borderId="24" xfId="0" applyFont="1" applyFill="1" applyBorder="1" applyAlignment="1" applyProtection="1">
      <alignment horizontal="left" vertical="center"/>
    </xf>
    <xf numFmtId="0" fontId="0" fillId="0" borderId="0" xfId="0" applyFont="1" applyFill="1" applyBorder="1" applyAlignment="1" applyProtection="1">
      <alignment horizontal="left" vertical="center"/>
    </xf>
    <xf numFmtId="0" fontId="0" fillId="0" borderId="11" xfId="0" applyFont="1" applyFill="1" applyBorder="1" applyAlignment="1" applyProtection="1">
      <alignment horizontal="right" vertical="center"/>
    </xf>
    <xf numFmtId="0" fontId="0" fillId="0" borderId="13" xfId="0" applyFont="1" applyFill="1" applyBorder="1" applyAlignment="1" applyProtection="1">
      <alignment horizontal="right" vertical="center"/>
    </xf>
    <xf numFmtId="0" fontId="45" fillId="0" borderId="0" xfId="2" applyFont="1" applyAlignment="1" applyProtection="1">
      <alignment horizontal="left" vertical="center" wrapText="1"/>
    </xf>
    <xf numFmtId="0" fontId="29" fillId="0" borderId="0" xfId="0" applyFont="1" applyAlignment="1">
      <alignment horizontal="left" vertical="center"/>
    </xf>
    <xf numFmtId="0" fontId="40" fillId="0" borderId="21" xfId="0" applyFont="1" applyFill="1" applyBorder="1" applyAlignment="1">
      <alignment horizontal="left" vertical="center"/>
    </xf>
    <xf numFmtId="0" fontId="31" fillId="0" borderId="20" xfId="0" applyFont="1" applyFill="1" applyBorder="1" applyAlignment="1">
      <alignment horizontal="left" vertical="center"/>
    </xf>
    <xf numFmtId="0" fontId="19" fillId="7" borderId="20" xfId="0" applyFont="1" applyFill="1" applyBorder="1" applyAlignment="1">
      <alignment horizontal="left" vertical="center" wrapText="1"/>
    </xf>
    <xf numFmtId="0" fontId="19" fillId="7" borderId="8" xfId="0" applyFont="1" applyFill="1" applyBorder="1" applyAlignment="1">
      <alignment horizontal="left" vertical="center" wrapText="1"/>
    </xf>
    <xf numFmtId="0" fontId="20" fillId="18" borderId="20" xfId="0" applyFont="1" applyFill="1" applyBorder="1" applyAlignment="1">
      <alignment horizontal="left" vertical="center" wrapText="1"/>
    </xf>
    <xf numFmtId="0" fontId="20" fillId="18" borderId="8" xfId="0" applyFont="1" applyFill="1" applyBorder="1" applyAlignment="1">
      <alignment horizontal="left" vertical="center" wrapText="1"/>
    </xf>
    <xf numFmtId="0" fontId="66" fillId="0" borderId="21" xfId="0" applyFont="1" applyBorder="1" applyAlignment="1">
      <alignment horizontal="left" vertical="center"/>
    </xf>
    <xf numFmtId="0" fontId="66" fillId="0" borderId="22" xfId="0" applyFont="1" applyBorder="1" applyAlignment="1">
      <alignment horizontal="left" vertical="center"/>
    </xf>
    <xf numFmtId="0" fontId="66" fillId="0" borderId="20" xfId="0" applyFont="1" applyBorder="1" applyAlignment="1">
      <alignment horizontal="left" vertical="center"/>
    </xf>
    <xf numFmtId="187" fontId="66" fillId="0" borderId="21" xfId="0" applyNumberFormat="1" applyFont="1" applyBorder="1" applyAlignment="1">
      <alignment horizontal="center" vertical="center"/>
    </xf>
    <xf numFmtId="187" fontId="66" fillId="0" borderId="22" xfId="0" applyNumberFormat="1" applyFont="1" applyBorder="1" applyAlignment="1">
      <alignment horizontal="center" vertical="center"/>
    </xf>
    <xf numFmtId="187" fontId="66" fillId="0" borderId="20" xfId="0" applyNumberFormat="1" applyFont="1" applyBorder="1" applyAlignment="1">
      <alignment horizontal="center" vertical="center"/>
    </xf>
    <xf numFmtId="0" fontId="63" fillId="0" borderId="16" xfId="0" applyFont="1" applyFill="1" applyBorder="1" applyAlignment="1">
      <alignment horizontal="left" vertical="center"/>
    </xf>
    <xf numFmtId="0" fontId="63" fillId="0" borderId="39" xfId="0" applyFont="1" applyFill="1" applyBorder="1" applyAlignment="1">
      <alignment horizontal="left" vertical="center"/>
    </xf>
    <xf numFmtId="0" fontId="63" fillId="0" borderId="40" xfId="0" applyFont="1" applyFill="1" applyBorder="1" applyAlignment="1">
      <alignment horizontal="left" vertical="center"/>
    </xf>
    <xf numFmtId="49" fontId="89" fillId="31" borderId="8" xfId="0" applyNumberFormat="1" applyFont="1" applyFill="1" applyBorder="1" applyAlignment="1" applyProtection="1">
      <alignment horizontal="left" wrapText="1"/>
      <protection locked="0"/>
    </xf>
    <xf numFmtId="0" fontId="63" fillId="9" borderId="8" xfId="0" applyFont="1" applyFill="1" applyBorder="1" applyAlignment="1">
      <alignment horizontal="left" vertical="center"/>
    </xf>
    <xf numFmtId="178" fontId="63" fillId="0" borderId="8" xfId="0" applyNumberFormat="1" applyFont="1" applyFill="1" applyBorder="1" applyAlignment="1">
      <alignment horizontal="left" vertical="center"/>
    </xf>
    <xf numFmtId="0" fontId="63" fillId="9" borderId="21" xfId="0" applyFont="1" applyFill="1" applyBorder="1" applyAlignment="1">
      <alignment horizontal="left" vertical="center"/>
    </xf>
    <xf numFmtId="0" fontId="63" fillId="9" borderId="20" xfId="0" applyFont="1" applyFill="1" applyBorder="1" applyAlignment="1">
      <alignment horizontal="left" vertical="center"/>
    </xf>
    <xf numFmtId="0" fontId="25" fillId="8" borderId="8" xfId="0" applyFont="1" applyFill="1" applyBorder="1" applyAlignment="1">
      <alignment horizontal="center" vertical="center"/>
    </xf>
    <xf numFmtId="0" fontId="63" fillId="8" borderId="8" xfId="0" applyFont="1" applyFill="1" applyBorder="1" applyAlignment="1">
      <alignment horizontal="center" vertical="center"/>
    </xf>
    <xf numFmtId="166" fontId="43" fillId="0" borderId="16" xfId="0" applyNumberFormat="1" applyFont="1" applyBorder="1" applyAlignment="1">
      <alignment horizontal="left" vertical="center"/>
    </xf>
    <xf numFmtId="166" fontId="43" fillId="0" borderId="39" xfId="0" applyNumberFormat="1" applyFont="1" applyBorder="1" applyAlignment="1">
      <alignment horizontal="left" vertical="center"/>
    </xf>
    <xf numFmtId="166" fontId="43" fillId="0" borderId="40" xfId="0" applyNumberFormat="1" applyFont="1" applyBorder="1" applyAlignment="1">
      <alignment horizontal="left" vertical="center"/>
    </xf>
    <xf numFmtId="0" fontId="55" fillId="0" borderId="21" xfId="0" applyFont="1" applyBorder="1" applyAlignment="1">
      <alignment horizontal="left" vertical="center"/>
    </xf>
    <xf numFmtId="0" fontId="55" fillId="0" borderId="22" xfId="0" applyFont="1" applyBorder="1" applyAlignment="1">
      <alignment horizontal="left" vertical="center"/>
    </xf>
    <xf numFmtId="0" fontId="55" fillId="0" borderId="20" xfId="0" applyFont="1" applyBorder="1" applyAlignment="1">
      <alignment horizontal="left" vertical="center"/>
    </xf>
    <xf numFmtId="0" fontId="60" fillId="9" borderId="16" xfId="0" applyFont="1" applyFill="1" applyBorder="1" applyAlignment="1">
      <alignment horizontal="left" vertical="center"/>
    </xf>
    <xf numFmtId="0" fontId="60" fillId="9" borderId="39" xfId="0" applyFont="1" applyFill="1" applyBorder="1" applyAlignment="1">
      <alignment horizontal="left" vertical="center"/>
    </xf>
    <xf numFmtId="0" fontId="60" fillId="9" borderId="21" xfId="0" applyFont="1" applyFill="1" applyBorder="1" applyAlignment="1">
      <alignment horizontal="left" vertical="center"/>
    </xf>
    <xf numFmtId="0" fontId="60" fillId="9" borderId="22" xfId="0" applyFont="1" applyFill="1" applyBorder="1" applyAlignment="1">
      <alignment horizontal="left" vertical="center"/>
    </xf>
    <xf numFmtId="0" fontId="61" fillId="9" borderId="16" xfId="0" applyFont="1" applyFill="1" applyBorder="1" applyAlignment="1">
      <alignment horizontal="left" vertical="center" wrapText="1"/>
    </xf>
    <xf numFmtId="0" fontId="61" fillId="9" borderId="40" xfId="0" applyFont="1" applyFill="1" applyBorder="1" applyAlignment="1">
      <alignment horizontal="left" vertical="center" wrapText="1"/>
    </xf>
    <xf numFmtId="0" fontId="61" fillId="9" borderId="21" xfId="0" applyFont="1" applyFill="1" applyBorder="1" applyAlignment="1">
      <alignment horizontal="left" vertical="center"/>
    </xf>
    <xf numFmtId="0" fontId="61" fillId="9" borderId="20" xfId="0" applyFont="1" applyFill="1" applyBorder="1" applyAlignment="1">
      <alignment horizontal="left" vertical="center"/>
    </xf>
    <xf numFmtId="0" fontId="48" fillId="0" borderId="17" xfId="0" applyFont="1" applyBorder="1" applyAlignment="1">
      <alignment horizontal="center" vertical="center"/>
    </xf>
    <xf numFmtId="0" fontId="48" fillId="0" borderId="8" xfId="0" applyFont="1" applyBorder="1" applyAlignment="1">
      <alignment horizontal="center" vertical="center"/>
    </xf>
    <xf numFmtId="0" fontId="60" fillId="9" borderId="33" xfId="0" applyFont="1" applyFill="1" applyBorder="1" applyAlignment="1">
      <alignment horizontal="left" vertical="center"/>
    </xf>
    <xf numFmtId="0" fontId="60" fillId="9" borderId="25" xfId="0" applyFont="1" applyFill="1" applyBorder="1" applyAlignment="1">
      <alignment horizontal="left" vertical="center"/>
    </xf>
    <xf numFmtId="0" fontId="61" fillId="9" borderId="8" xfId="0" applyFont="1" applyFill="1" applyBorder="1" applyAlignment="1">
      <alignment horizontal="left" vertical="center"/>
    </xf>
    <xf numFmtId="0" fontId="61" fillId="9" borderId="18" xfId="0" applyFont="1" applyFill="1" applyBorder="1" applyAlignment="1">
      <alignment horizontal="left" vertical="center"/>
    </xf>
    <xf numFmtId="0" fontId="43" fillId="31" borderId="8" xfId="0" applyFont="1" applyFill="1" applyBorder="1" applyAlignment="1" applyProtection="1">
      <alignment horizontal="left" vertical="center"/>
      <protection locked="0"/>
    </xf>
    <xf numFmtId="49" fontId="89" fillId="31" borderId="21" xfId="0" applyNumberFormat="1" applyFont="1" applyFill="1" applyBorder="1" applyAlignment="1" applyProtection="1">
      <alignment horizontal="left" wrapText="1"/>
      <protection locked="0"/>
    </xf>
    <xf numFmtId="49" fontId="89" fillId="31" borderId="20" xfId="0" applyNumberFormat="1" applyFont="1" applyFill="1" applyBorder="1" applyAlignment="1" applyProtection="1">
      <alignment horizontal="left" wrapText="1"/>
      <protection locked="0"/>
    </xf>
    <xf numFmtId="0" fontId="61" fillId="9" borderId="8" xfId="0" applyFont="1" applyFill="1" applyBorder="1" applyAlignment="1">
      <alignment horizontal="left" vertical="center" wrapText="1"/>
    </xf>
    <xf numFmtId="0" fontId="25" fillId="8" borderId="16" xfId="0" applyFont="1" applyFill="1" applyBorder="1" applyAlignment="1">
      <alignment horizontal="center" vertical="center"/>
    </xf>
    <xf numFmtId="0" fontId="25" fillId="8" borderId="39" xfId="0" applyFont="1" applyFill="1" applyBorder="1" applyAlignment="1">
      <alignment horizontal="center" vertical="center"/>
    </xf>
    <xf numFmtId="0" fontId="43" fillId="31" borderId="21" xfId="0" applyFont="1" applyFill="1" applyBorder="1" applyAlignment="1" applyProtection="1">
      <alignment horizontal="left" vertical="center"/>
      <protection locked="0"/>
    </xf>
    <xf numFmtId="0" fontId="43" fillId="31" borderId="20" xfId="0" applyFont="1" applyFill="1" applyBorder="1" applyAlignment="1" applyProtection="1">
      <alignment horizontal="left" vertical="center"/>
      <protection locked="0"/>
    </xf>
    <xf numFmtId="186" fontId="56" fillId="0" borderId="8" xfId="0" applyNumberFormat="1" applyFont="1" applyFill="1" applyBorder="1" applyAlignment="1">
      <alignment horizontal="center" vertical="center"/>
    </xf>
    <xf numFmtId="0" fontId="20" fillId="8" borderId="16" xfId="0" applyFont="1" applyFill="1" applyBorder="1" applyAlignment="1">
      <alignment horizontal="left" vertical="center"/>
    </xf>
    <xf numFmtId="0" fontId="20" fillId="8" borderId="39" xfId="0" applyFont="1" applyFill="1" applyBorder="1" applyAlignment="1">
      <alignment horizontal="left" vertical="center"/>
    </xf>
    <xf numFmtId="0" fontId="20" fillId="8" borderId="40" xfId="0" applyFont="1" applyFill="1" applyBorder="1" applyAlignment="1">
      <alignment horizontal="left" vertical="center"/>
    </xf>
    <xf numFmtId="0" fontId="34" fillId="8" borderId="21" xfId="0" applyFont="1" applyFill="1" applyBorder="1" applyAlignment="1">
      <alignment horizontal="center" vertical="center"/>
    </xf>
    <xf numFmtId="0" fontId="34" fillId="8" borderId="22" xfId="0" applyFont="1" applyFill="1" applyBorder="1" applyAlignment="1">
      <alignment horizontal="center" vertical="center"/>
    </xf>
    <xf numFmtId="0" fontId="34" fillId="8" borderId="20" xfId="0" applyFont="1" applyFill="1" applyBorder="1" applyAlignment="1">
      <alignment horizontal="center" vertical="center"/>
    </xf>
    <xf numFmtId="187" fontId="54" fillId="0" borderId="8" xfId="0" applyNumberFormat="1" applyFont="1" applyFill="1" applyBorder="1" applyAlignment="1">
      <alignment horizontal="center" vertical="center"/>
    </xf>
    <xf numFmtId="187" fontId="72" fillId="0" borderId="8" xfId="0" applyNumberFormat="1" applyFont="1" applyFill="1" applyBorder="1" applyAlignment="1">
      <alignment horizontal="center" vertical="center"/>
    </xf>
    <xf numFmtId="187" fontId="54" fillId="0" borderId="21" xfId="0" applyNumberFormat="1" applyFont="1" applyFill="1" applyBorder="1" applyAlignment="1">
      <alignment horizontal="center" vertical="center"/>
    </xf>
    <xf numFmtId="187" fontId="54" fillId="0" borderId="20" xfId="0" applyNumberFormat="1" applyFont="1" applyFill="1" applyBorder="1" applyAlignment="1">
      <alignment horizontal="center" vertical="center"/>
    </xf>
    <xf numFmtId="4" fontId="31" fillId="31" borderId="33" xfId="0" applyNumberFormat="1" applyFont="1" applyFill="1" applyBorder="1" applyAlignment="1" applyProtection="1">
      <alignment horizontal="center" vertical="center" wrapText="1"/>
      <protection hidden="1"/>
    </xf>
    <xf numFmtId="4" fontId="31" fillId="31" borderId="23" xfId="0" applyNumberFormat="1" applyFont="1" applyFill="1" applyBorder="1" applyAlignment="1" applyProtection="1">
      <alignment horizontal="center" vertical="center" wrapText="1"/>
      <protection hidden="1"/>
    </xf>
    <xf numFmtId="4" fontId="31" fillId="3" borderId="33" xfId="0" applyNumberFormat="1" applyFont="1" applyFill="1" applyBorder="1" applyAlignment="1" applyProtection="1">
      <alignment horizontal="center" vertical="center" wrapText="1"/>
      <protection hidden="1"/>
    </xf>
    <xf numFmtId="4" fontId="31" fillId="3" borderId="23" xfId="0" applyNumberFormat="1" applyFont="1" applyFill="1" applyBorder="1" applyAlignment="1" applyProtection="1">
      <alignment horizontal="center" vertical="center" wrapText="1"/>
      <protection hidden="1"/>
    </xf>
    <xf numFmtId="0" fontId="61" fillId="8" borderId="21" xfId="0" applyFont="1" applyFill="1" applyBorder="1" applyAlignment="1">
      <alignment horizontal="center" vertical="center"/>
    </xf>
    <xf numFmtId="0" fontId="61" fillId="8" borderId="22" xfId="0" applyFont="1" applyFill="1" applyBorder="1" applyAlignment="1">
      <alignment horizontal="center" vertical="center"/>
    </xf>
    <xf numFmtId="0" fontId="61" fillId="8" borderId="20" xfId="0" applyFont="1" applyFill="1" applyBorder="1" applyAlignment="1">
      <alignment horizontal="center" vertical="center"/>
    </xf>
    <xf numFmtId="0" fontId="55" fillId="9" borderId="8" xfId="0" applyFont="1" applyFill="1" applyBorder="1" applyAlignment="1">
      <alignment horizontal="left" vertical="center"/>
    </xf>
    <xf numFmtId="0" fontId="55" fillId="9" borderId="21" xfId="0" applyFont="1" applyFill="1" applyBorder="1" applyAlignment="1">
      <alignment horizontal="left"/>
    </xf>
    <xf numFmtId="0" fontId="55" fillId="9" borderId="22" xfId="0" applyFont="1" applyFill="1" applyBorder="1" applyAlignment="1">
      <alignment horizontal="left"/>
    </xf>
    <xf numFmtId="0" fontId="55" fillId="9" borderId="20" xfId="0" applyFont="1" applyFill="1" applyBorder="1" applyAlignment="1">
      <alignment horizontal="left"/>
    </xf>
    <xf numFmtId="0" fontId="55" fillId="9" borderId="21" xfId="0" applyFont="1" applyFill="1" applyBorder="1" applyAlignment="1">
      <alignment horizontal="left" vertical="center"/>
    </xf>
    <xf numFmtId="0" fontId="55" fillId="9" borderId="22" xfId="0" applyFont="1" applyFill="1" applyBorder="1" applyAlignment="1">
      <alignment horizontal="left" vertical="center"/>
    </xf>
    <xf numFmtId="0" fontId="55" fillId="9" borderId="20" xfId="0" applyFont="1" applyFill="1" applyBorder="1" applyAlignment="1">
      <alignment horizontal="left" vertical="center"/>
    </xf>
    <xf numFmtId="0" fontId="61" fillId="8" borderId="21" xfId="0" applyFont="1" applyFill="1" applyBorder="1" applyAlignment="1">
      <alignment horizontal="left" vertical="center"/>
    </xf>
    <xf numFmtId="0" fontId="61" fillId="8" borderId="22" xfId="0" applyFont="1" applyFill="1" applyBorder="1" applyAlignment="1">
      <alignment horizontal="left" vertical="center"/>
    </xf>
    <xf numFmtId="0" fontId="61" fillId="32" borderId="21" xfId="0" applyFont="1" applyFill="1" applyBorder="1" applyAlignment="1" applyProtection="1">
      <alignment horizontal="center" vertical="center"/>
      <protection locked="0"/>
    </xf>
    <xf numFmtId="0" fontId="61" fillId="32" borderId="20" xfId="0" applyFont="1" applyFill="1" applyBorder="1" applyAlignment="1" applyProtection="1">
      <alignment horizontal="center" vertical="center"/>
      <protection locked="0"/>
    </xf>
    <xf numFmtId="0" fontId="52" fillId="22" borderId="0" xfId="0" applyFont="1" applyFill="1" applyBorder="1" applyAlignment="1" applyProtection="1">
      <alignment horizontal="center" vertical="center"/>
      <protection hidden="1"/>
    </xf>
    <xf numFmtId="0" fontId="19" fillId="23" borderId="28" xfId="0" applyFont="1" applyFill="1" applyBorder="1" applyAlignment="1" applyProtection="1">
      <alignment horizontal="center" vertical="center"/>
      <protection hidden="1"/>
    </xf>
    <xf numFmtId="0" fontId="19" fillId="23" borderId="8" xfId="0" applyFont="1" applyFill="1" applyBorder="1" applyAlignment="1" applyProtection="1">
      <alignment horizontal="center" vertical="center"/>
      <protection hidden="1"/>
    </xf>
    <xf numFmtId="0" fontId="15" fillId="0" borderId="27" xfId="0" applyFont="1" applyFill="1" applyBorder="1" applyAlignment="1" applyProtection="1">
      <alignment horizontal="center" vertical="center"/>
      <protection hidden="1"/>
    </xf>
    <xf numFmtId="0" fontId="15" fillId="0" borderId="7" xfId="0" applyFont="1" applyFill="1" applyBorder="1" applyAlignment="1" applyProtection="1">
      <alignment horizontal="center" vertical="center"/>
      <protection hidden="1"/>
    </xf>
    <xf numFmtId="0" fontId="98" fillId="22" borderId="10" xfId="0" applyFont="1" applyFill="1" applyBorder="1" applyAlignment="1" applyProtection="1">
      <alignment horizontal="right" vertical="top"/>
      <protection hidden="1"/>
    </xf>
    <xf numFmtId="0" fontId="15" fillId="0" borderId="11" xfId="0" applyFont="1" applyBorder="1" applyAlignment="1" applyProtection="1">
      <alignment horizontal="center" vertical="center"/>
      <protection hidden="1"/>
    </xf>
    <xf numFmtId="0" fontId="15" fillId="0" borderId="13" xfId="0" applyFont="1" applyBorder="1" applyAlignment="1" applyProtection="1">
      <alignment horizontal="center" vertical="center"/>
      <protection hidden="1"/>
    </xf>
    <xf numFmtId="0" fontId="15" fillId="0" borderId="14" xfId="0" applyFont="1" applyBorder="1" applyAlignment="1" applyProtection="1">
      <alignment horizontal="center" vertical="center"/>
      <protection hidden="1"/>
    </xf>
    <xf numFmtId="0" fontId="15" fillId="0" borderId="36" xfId="0" applyFont="1" applyBorder="1" applyAlignment="1" applyProtection="1">
      <alignment horizontal="center" vertical="center"/>
      <protection hidden="1"/>
    </xf>
    <xf numFmtId="0" fontId="15" fillId="0" borderId="10" xfId="0" applyFont="1" applyBorder="1" applyAlignment="1" applyProtection="1">
      <alignment horizontal="center" vertical="center"/>
      <protection hidden="1"/>
    </xf>
    <xf numFmtId="0" fontId="15" fillId="0" borderId="37" xfId="0" applyFont="1" applyBorder="1" applyAlignment="1" applyProtection="1">
      <alignment horizontal="center" vertical="center"/>
      <protection hidden="1"/>
    </xf>
    <xf numFmtId="49" fontId="15" fillId="0" borderId="21" xfId="0" applyNumberFormat="1" applyFont="1" applyFill="1" applyBorder="1" applyAlignment="1" applyProtection="1">
      <alignment horizontal="center" vertical="center"/>
      <protection hidden="1"/>
    </xf>
    <xf numFmtId="49" fontId="15" fillId="0" borderId="22" xfId="0" applyNumberFormat="1" applyFont="1" applyFill="1" applyBorder="1" applyAlignment="1" applyProtection="1">
      <alignment horizontal="center" vertical="center"/>
      <protection hidden="1"/>
    </xf>
    <xf numFmtId="49" fontId="15" fillId="0" borderId="29" xfId="0" applyNumberFormat="1" applyFont="1" applyFill="1" applyBorder="1" applyAlignment="1" applyProtection="1">
      <alignment horizontal="center" vertical="center"/>
      <protection hidden="1"/>
    </xf>
    <xf numFmtId="0" fontId="15" fillId="0" borderId="8" xfId="0" applyFont="1" applyFill="1" applyBorder="1" applyAlignment="1" applyProtection="1">
      <alignment horizontal="center" vertical="center"/>
      <protection hidden="1"/>
    </xf>
    <xf numFmtId="0" fontId="15" fillId="0" borderId="9" xfId="0" applyFont="1" applyFill="1" applyBorder="1" applyAlignment="1" applyProtection="1">
      <alignment horizontal="center" vertical="center"/>
      <protection hidden="1"/>
    </xf>
    <xf numFmtId="0" fontId="19" fillId="23" borderId="30" xfId="0" applyFont="1" applyFill="1" applyBorder="1" applyAlignment="1" applyProtection="1">
      <alignment horizontal="center" vertical="center"/>
      <protection hidden="1"/>
    </xf>
    <xf numFmtId="0" fontId="19" fillId="23" borderId="31" xfId="0" applyFont="1" applyFill="1" applyBorder="1" applyAlignment="1" applyProtection="1">
      <alignment horizontal="center" vertical="center"/>
      <protection hidden="1"/>
    </xf>
    <xf numFmtId="0" fontId="15" fillId="0" borderId="31" xfId="0" applyFont="1" applyFill="1" applyBorder="1" applyAlignment="1" applyProtection="1">
      <alignment horizontal="center" vertical="center"/>
      <protection hidden="1"/>
    </xf>
    <xf numFmtId="0" fontId="15" fillId="0" borderId="34" xfId="0" applyFont="1" applyFill="1" applyBorder="1" applyAlignment="1" applyProtection="1">
      <alignment horizontal="center" vertical="center"/>
      <protection hidden="1"/>
    </xf>
    <xf numFmtId="0" fontId="21" fillId="25" borderId="21" xfId="0" applyFont="1" applyFill="1" applyBorder="1" applyAlignment="1" applyProtection="1">
      <alignment horizontal="center" vertical="center" wrapText="1"/>
      <protection locked="0"/>
    </xf>
    <xf numFmtId="0" fontId="21" fillId="25" borderId="22" xfId="0" applyFont="1" applyFill="1" applyBorder="1" applyAlignment="1" applyProtection="1">
      <alignment horizontal="center" vertical="center" wrapText="1"/>
      <protection locked="0"/>
    </xf>
    <xf numFmtId="0" fontId="21" fillId="25" borderId="20" xfId="0" applyFont="1" applyFill="1" applyBorder="1" applyAlignment="1" applyProtection="1">
      <alignment horizontal="center" vertical="center" wrapText="1"/>
      <protection locked="0"/>
    </xf>
    <xf numFmtId="0" fontId="21" fillId="25" borderId="66" xfId="0" applyFont="1" applyFill="1" applyBorder="1" applyAlignment="1" applyProtection="1">
      <alignment horizontal="center" vertical="center" wrapText="1"/>
      <protection locked="0"/>
    </xf>
    <xf numFmtId="0" fontId="21" fillId="25" borderId="41" xfId="0" applyFont="1" applyFill="1" applyBorder="1" applyAlignment="1" applyProtection="1">
      <alignment horizontal="center" vertical="center" wrapText="1"/>
      <protection locked="0"/>
    </xf>
    <xf numFmtId="0" fontId="21" fillId="25" borderId="62" xfId="0" applyFont="1" applyFill="1" applyBorder="1" applyAlignment="1" applyProtection="1">
      <alignment horizontal="center" vertical="center" wrapText="1"/>
      <protection locked="0"/>
    </xf>
    <xf numFmtId="0" fontId="96" fillId="22" borderId="0" xfId="0" applyFont="1" applyFill="1" applyAlignment="1" applyProtection="1">
      <alignment horizontal="center" vertical="top" wrapText="1"/>
      <protection hidden="1"/>
    </xf>
    <xf numFmtId="0" fontId="96" fillId="22" borderId="0" xfId="0" applyFont="1" applyFill="1" applyAlignment="1" applyProtection="1">
      <alignment horizontal="center" vertical="top"/>
      <protection hidden="1"/>
    </xf>
    <xf numFmtId="0" fontId="19" fillId="23" borderId="26" xfId="0" applyFont="1" applyFill="1" applyBorder="1" applyAlignment="1" applyProtection="1">
      <alignment horizontal="center" vertical="center"/>
      <protection hidden="1"/>
    </xf>
    <xf numFmtId="0" fontId="19" fillId="23" borderId="27" xfId="0" applyFont="1" applyFill="1" applyBorder="1" applyAlignment="1" applyProtection="1">
      <alignment horizontal="center" vertical="center"/>
      <protection hidden="1"/>
    </xf>
    <xf numFmtId="0" fontId="19" fillId="23" borderId="46" xfId="0" applyFont="1" applyFill="1" applyBorder="1" applyAlignment="1" applyProtection="1">
      <alignment horizontal="center" vertical="center"/>
      <protection hidden="1"/>
    </xf>
    <xf numFmtId="0" fontId="19" fillId="23" borderId="20" xfId="0" applyFont="1" applyFill="1" applyBorder="1" applyAlignment="1" applyProtection="1">
      <alignment horizontal="center" vertical="center"/>
      <protection hidden="1"/>
    </xf>
    <xf numFmtId="0" fontId="116" fillId="0" borderId="85" xfId="0" applyFont="1" applyBorder="1" applyAlignment="1">
      <alignment horizontal="left" vertical="top"/>
    </xf>
    <xf numFmtId="0" fontId="116" fillId="0" borderId="0" xfId="0" applyFont="1"/>
    <xf numFmtId="0" fontId="115" fillId="0" borderId="85" xfId="0" applyFont="1" applyBorder="1" applyAlignment="1">
      <alignment horizontal="left" vertical="top" wrapText="1"/>
    </xf>
    <xf numFmtId="0" fontId="15" fillId="0" borderId="4" xfId="0" applyFont="1" applyBorder="1" applyAlignment="1" applyProtection="1">
      <alignment horizontal="center" vertical="center"/>
      <protection hidden="1"/>
    </xf>
    <xf numFmtId="0" fontId="15" fillId="0" borderId="15" xfId="0" applyFont="1" applyBorder="1" applyAlignment="1" applyProtection="1">
      <alignment horizontal="center" vertical="center"/>
      <protection hidden="1"/>
    </xf>
    <xf numFmtId="0" fontId="15" fillId="0" borderId="5" xfId="0" applyFont="1" applyBorder="1" applyAlignment="1" applyProtection="1">
      <alignment horizontal="center" vertical="center"/>
      <protection hidden="1"/>
    </xf>
    <xf numFmtId="0" fontId="13" fillId="6" borderId="22" xfId="0" applyFont="1" applyFill="1" applyBorder="1" applyAlignment="1" applyProtection="1">
      <alignment horizontal="center" vertical="center"/>
      <protection hidden="1"/>
    </xf>
    <xf numFmtId="0" fontId="13" fillId="6" borderId="20" xfId="0" applyFont="1" applyFill="1" applyBorder="1" applyAlignment="1" applyProtection="1">
      <alignment horizontal="center" vertical="center"/>
      <protection hidden="1"/>
    </xf>
    <xf numFmtId="0" fontId="38" fillId="6" borderId="0" xfId="0" applyFont="1" applyFill="1" applyAlignment="1" applyProtection="1">
      <alignment horizontal="center" vertical="center"/>
      <protection hidden="1"/>
    </xf>
    <xf numFmtId="0" fontId="19" fillId="0" borderId="4" xfId="0" applyFont="1" applyBorder="1" applyAlignment="1" applyProtection="1">
      <alignment horizontal="center" vertical="center"/>
      <protection hidden="1"/>
    </xf>
    <xf numFmtId="0" fontId="19" fillId="0" borderId="15" xfId="0" applyFont="1" applyBorder="1" applyAlignment="1" applyProtection="1">
      <alignment horizontal="center" vertical="center"/>
      <protection hidden="1"/>
    </xf>
    <xf numFmtId="0" fontId="19" fillId="0" borderId="5" xfId="0" applyFont="1" applyBorder="1" applyAlignment="1" applyProtection="1">
      <alignment horizontal="center" vertical="center"/>
      <protection hidden="1"/>
    </xf>
    <xf numFmtId="0" fontId="40" fillId="0" borderId="0" xfId="0" applyFont="1" applyAlignment="1">
      <alignment horizontal="left" vertical="center" wrapText="1"/>
    </xf>
    <xf numFmtId="0" fontId="29" fillId="0" borderId="0" xfId="0" applyFont="1" applyAlignment="1">
      <alignment horizontal="right" vertical="center"/>
    </xf>
    <xf numFmtId="0" fontId="31" fillId="0" borderId="0" xfId="0" applyFont="1" applyAlignment="1">
      <alignment horizontal="right" vertical="center"/>
    </xf>
    <xf numFmtId="0" fontId="54" fillId="0" borderId="15" xfId="0" applyFont="1" applyBorder="1" applyAlignment="1" applyProtection="1">
      <alignment horizontal="left" vertical="center"/>
    </xf>
    <xf numFmtId="0" fontId="54" fillId="0" borderId="5" xfId="0" applyFont="1" applyBorder="1" applyAlignment="1" applyProtection="1">
      <alignment horizontal="left" vertical="center"/>
    </xf>
    <xf numFmtId="0" fontId="31" fillId="0" borderId="15" xfId="0" applyFont="1" applyBorder="1" applyAlignment="1" applyProtection="1">
      <alignment horizontal="left" vertical="center"/>
    </xf>
    <xf numFmtId="0" fontId="31" fillId="0" borderId="5" xfId="0" applyFont="1" applyBorder="1" applyAlignment="1" applyProtection="1">
      <alignment horizontal="left" vertical="center"/>
    </xf>
    <xf numFmtId="0" fontId="55" fillId="0" borderId="0" xfId="0" applyFont="1" applyAlignment="1" applyProtection="1">
      <alignment horizontal="left" vertical="center"/>
    </xf>
    <xf numFmtId="0" fontId="31" fillId="32" borderId="33" xfId="0" applyFont="1" applyFill="1" applyBorder="1" applyAlignment="1" applyProtection="1">
      <alignment horizontal="left" vertical="top" wrapText="1"/>
      <protection locked="0"/>
    </xf>
    <xf numFmtId="0" fontId="31" fillId="32" borderId="25" xfId="0" applyFont="1" applyFill="1" applyBorder="1" applyAlignment="1" applyProtection="1">
      <alignment horizontal="left" vertical="top" wrapText="1"/>
      <protection locked="0"/>
    </xf>
    <xf numFmtId="0" fontId="31" fillId="32" borderId="23" xfId="0" applyFont="1" applyFill="1" applyBorder="1" applyAlignment="1" applyProtection="1">
      <alignment horizontal="left" vertical="top" wrapText="1"/>
      <protection locked="0"/>
    </xf>
    <xf numFmtId="0" fontId="31" fillId="32" borderId="16" xfId="0" applyFont="1" applyFill="1" applyBorder="1" applyAlignment="1" applyProtection="1">
      <alignment horizontal="left" vertical="top" wrapText="1"/>
      <protection locked="0"/>
    </xf>
    <xf numFmtId="0" fontId="31" fillId="32" borderId="39" xfId="0" applyFont="1" applyFill="1" applyBorder="1" applyAlignment="1" applyProtection="1">
      <alignment horizontal="left" vertical="top" wrapText="1"/>
      <protection locked="0"/>
    </xf>
    <xf numFmtId="0" fontId="31" fillId="32" borderId="40" xfId="0" applyFont="1" applyFill="1" applyBorder="1" applyAlignment="1" applyProtection="1">
      <alignment horizontal="left" vertical="top" wrapText="1"/>
      <protection locked="0"/>
    </xf>
    <xf numFmtId="0" fontId="30" fillId="0" borderId="25" xfId="0" applyFont="1" applyBorder="1" applyAlignment="1">
      <alignment horizontal="left" vertical="center" wrapText="1"/>
    </xf>
    <xf numFmtId="0" fontId="30" fillId="0" borderId="0" xfId="0" applyFont="1" applyBorder="1" applyAlignment="1">
      <alignment horizontal="left" vertical="center" wrapText="1"/>
    </xf>
    <xf numFmtId="0" fontId="56" fillId="0" borderId="0" xfId="0" applyFont="1" applyAlignment="1" applyProtection="1">
      <alignment horizontal="left" vertical="center"/>
    </xf>
    <xf numFmtId="0" fontId="49" fillId="4" borderId="0" xfId="0" applyFont="1" applyFill="1" applyBorder="1" applyAlignment="1" applyProtection="1">
      <alignment horizontal="center" vertical="center" wrapText="1"/>
    </xf>
    <xf numFmtId="0" fontId="49" fillId="4" borderId="38" xfId="0" applyFont="1" applyFill="1" applyBorder="1" applyAlignment="1" applyProtection="1">
      <alignment horizontal="center" vertical="center" wrapText="1"/>
    </xf>
    <xf numFmtId="0" fontId="45" fillId="0" borderId="0" xfId="2" applyFont="1" applyAlignment="1" applyProtection="1">
      <alignment horizontal="left" vertical="top" wrapText="1"/>
    </xf>
    <xf numFmtId="0" fontId="29" fillId="0" borderId="0" xfId="0" applyFont="1" applyAlignment="1" applyProtection="1">
      <alignment horizontal="left" vertical="center"/>
    </xf>
    <xf numFmtId="0" fontId="75" fillId="0" borderId="0" xfId="0" applyFont="1" applyAlignment="1" applyProtection="1">
      <alignment horizontal="center" vertical="top" wrapText="1"/>
    </xf>
    <xf numFmtId="0" fontId="53" fillId="6" borderId="0" xfId="0" applyFont="1" applyFill="1" applyAlignment="1" applyProtection="1">
      <alignment horizontal="center" vertical="center"/>
    </xf>
    <xf numFmtId="0" fontId="26" fillId="9" borderId="8" xfId="0" applyFont="1" applyFill="1" applyBorder="1" applyAlignment="1" applyProtection="1">
      <alignment horizontal="left" vertical="center"/>
    </xf>
    <xf numFmtId="0" fontId="33" fillId="9" borderId="8" xfId="0" applyFont="1" applyFill="1" applyBorder="1" applyAlignment="1" applyProtection="1">
      <alignment horizontal="left" vertical="center"/>
    </xf>
  </cellXfs>
  <cellStyles count="4">
    <cellStyle name="Comma" xfId="1" builtinId="3"/>
    <cellStyle name="Hyperlink" xfId="2" builtinId="8"/>
    <cellStyle name="Normal" xfId="0" builtinId="0"/>
    <cellStyle name="Percent" xfId="3" builtinId="5"/>
  </cellStyles>
  <dxfs count="17">
    <dxf>
      <font>
        <color theme="0"/>
      </font>
      <fill>
        <patternFill>
          <bgColor theme="0"/>
        </patternFill>
      </fill>
    </dxf>
    <dxf>
      <font>
        <color theme="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border>
    </dxf>
    <dxf>
      <font>
        <color rgb="FFFFC000"/>
      </font>
      <fill>
        <patternFill>
          <bgColor rgb="FFFFC000"/>
        </patternFill>
      </fill>
    </dxf>
    <dxf>
      <font>
        <b/>
        <i/>
        <color rgb="FFFFFF00"/>
      </font>
      <fill>
        <patternFill>
          <bgColor rgb="FFFFFF00"/>
        </patternFill>
      </fill>
    </dxf>
    <dxf>
      <font>
        <b/>
        <i/>
        <color rgb="FFFFFF00"/>
      </font>
      <fill>
        <patternFill>
          <bgColor rgb="FFFF0000"/>
        </patternFill>
      </fill>
    </dxf>
    <dxf>
      <font>
        <color theme="0" tint="-0.14996795556505021"/>
      </font>
      <fill>
        <patternFill>
          <bgColor theme="0" tint="-0.14996795556505021"/>
        </patternFill>
      </fill>
    </dxf>
    <dxf>
      <font>
        <b/>
        <i/>
        <color rgb="FFFFFF00"/>
      </font>
      <fill>
        <patternFill>
          <bgColor rgb="FFFF0000"/>
        </patternFill>
      </fill>
    </dxf>
    <dxf>
      <font>
        <b/>
        <i/>
        <strike/>
        <color rgb="FFFFFF00"/>
      </font>
      <fill>
        <patternFill>
          <bgColor rgb="FFFF0000"/>
        </patternFill>
      </fill>
    </dxf>
    <dxf>
      <font>
        <b/>
        <i/>
        <color rgb="FFFFFF00"/>
      </font>
      <fill>
        <patternFill>
          <bgColor rgb="FFFF0000"/>
        </patternFill>
      </fill>
      <border>
        <left style="thin">
          <color auto="1"/>
        </left>
        <right style="thin">
          <color auto="1"/>
        </right>
        <top style="thin">
          <color auto="1"/>
        </top>
        <bottom style="thin">
          <color auto="1"/>
        </bottom>
      </border>
    </dxf>
    <dxf>
      <font>
        <b/>
        <i/>
        <color rgb="FFFFFF00"/>
      </font>
      <fill>
        <patternFill>
          <bgColor rgb="FFFF0000"/>
        </patternFill>
      </fill>
    </dxf>
    <dxf>
      <font>
        <b/>
        <i/>
        <color rgb="FFFFFF00"/>
      </font>
      <fill>
        <patternFill>
          <bgColor rgb="FFFF0000"/>
        </patternFill>
      </fill>
    </dxf>
  </dxfs>
  <tableStyles count="0" defaultTableStyle="TableStyleMedium2" defaultPivotStyle="PivotStyleLight16"/>
  <colors>
    <mruColors>
      <color rgb="FFEBF7FB"/>
      <color rgb="FFE7F1F9"/>
      <color rgb="FFFFFFCC"/>
      <color rgb="FFF75309"/>
      <color rgb="FF008080"/>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28576</xdr:rowOff>
    </xdr:from>
    <xdr:to>
      <xdr:col>14</xdr:col>
      <xdr:colOff>19050</xdr:colOff>
      <xdr:row>6</xdr:row>
      <xdr:rowOff>169450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0" y="28576"/>
          <a:ext cx="8982075" cy="1283874"/>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640562</xdr:colOff>
      <xdr:row>0</xdr:row>
      <xdr:rowOff>40481</xdr:rowOff>
    </xdr:from>
    <xdr:to>
      <xdr:col>6</xdr:col>
      <xdr:colOff>666756</xdr:colOff>
      <xdr:row>2</xdr:row>
      <xdr:rowOff>173831</xdr:rowOff>
    </xdr:to>
    <xdr:pic>
      <xdr:nvPicPr>
        <xdr:cNvPr id="2" name="Picture 1" descr="new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200531" y="40481"/>
          <a:ext cx="1514475" cy="5143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0</xdr:col>
      <xdr:colOff>38100</xdr:colOff>
      <xdr:row>34</xdr:row>
      <xdr:rowOff>114300</xdr:rowOff>
    </xdr:from>
    <xdr:to>
      <xdr:col>0</xdr:col>
      <xdr:colOff>542925</xdr:colOff>
      <xdr:row>37</xdr:row>
      <xdr:rowOff>9525</xdr:rowOff>
    </xdr:to>
    <xdr:pic>
      <xdr:nvPicPr>
        <xdr:cNvPr id="4"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38100" y="7543800"/>
          <a:ext cx="504825" cy="4667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161925</xdr:colOff>
      <xdr:row>3</xdr:row>
      <xdr:rowOff>161925</xdr:rowOff>
    </xdr:to>
    <xdr:pic>
      <xdr:nvPicPr>
        <xdr:cNvPr id="2051" name="Picture 3"/>
        <xdr:cNvPicPr>
          <a:picLocks noChangeAspect="1" noChangeArrowheads="1"/>
        </xdr:cNvPicPr>
      </xdr:nvPicPr>
      <xdr:blipFill>
        <a:blip xmlns:r="http://schemas.openxmlformats.org/officeDocument/2006/relationships" r:embed="rId1" cstate="print"/>
        <a:srcRect/>
        <a:stretch>
          <a:fillRect/>
        </a:stretch>
      </xdr:blipFill>
      <xdr:spPr bwMode="auto">
        <a:xfrm>
          <a:off x="0" y="38100"/>
          <a:ext cx="1800225" cy="609600"/>
        </a:xfrm>
        <a:prstGeom prst="rect">
          <a:avLst/>
        </a:prstGeom>
        <a:ln>
          <a:noFill/>
        </a:ln>
        <a:effectLst>
          <a:softEdge rad="112500"/>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572295</xdr:colOff>
      <xdr:row>1</xdr:row>
      <xdr:rowOff>238125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525" y="0"/>
          <a:ext cx="2607470" cy="5619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www.nationalinsuranceindia.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2.xml.rels><?xml version="1.0" encoding="UTF-8" standalone="yes"?>
<Relationships xmlns="http://schemas.openxmlformats.org/package/2006/relationships"><Relationship Id="rId8" Type="http://schemas.openxmlformats.org/officeDocument/2006/relationships/hyperlink" Target="mailto:arunkumar.kurji@gmail.com" TargetMode="External"/><Relationship Id="rId3" Type="http://schemas.openxmlformats.org/officeDocument/2006/relationships/hyperlink" Target="mailto:sanjaysingh.surveyor@gmail.com" TargetMode="External"/><Relationship Id="rId7" Type="http://schemas.openxmlformats.org/officeDocument/2006/relationships/hyperlink" Target="mailto:prakash.narayan33@gmail.com" TargetMode="External"/><Relationship Id="rId2" Type="http://schemas.openxmlformats.org/officeDocument/2006/relationships/hyperlink" Target="mailto:singh.sanjay67@gmail.com" TargetMode="External"/><Relationship Id="rId1" Type="http://schemas.openxmlformats.org/officeDocument/2006/relationships/hyperlink" Target="mailto:anujkumar2259@gmail.com" TargetMode="External"/><Relationship Id="rId6" Type="http://schemas.openxmlformats.org/officeDocument/2006/relationships/hyperlink" Target="mailto:babulalprasad44@gmail.com" TargetMode="External"/><Relationship Id="rId5" Type="http://schemas.openxmlformats.org/officeDocument/2006/relationships/hyperlink" Target="mailto:rrp9936@gmail.com" TargetMode="External"/><Relationship Id="rId10" Type="http://schemas.openxmlformats.org/officeDocument/2006/relationships/printerSettings" Target="../printerSettings/printerSettings20.bin"/><Relationship Id="rId4" Type="http://schemas.openxmlformats.org/officeDocument/2006/relationships/hyperlink" Target="mailto:rajeshjha933@gmail.com" TargetMode="External"/><Relationship Id="rId9" Type="http://schemas.openxmlformats.org/officeDocument/2006/relationships/hyperlink" Target="mailto:satishkrcomp@rediffmail.com" TargetMode="External"/></Relationships>
</file>

<file path=xl/worksheets/sheet1.xml><?xml version="1.0" encoding="utf-8"?>
<worksheet xmlns="http://schemas.openxmlformats.org/spreadsheetml/2006/main" xmlns:r="http://schemas.openxmlformats.org/officeDocument/2006/relationships">
  <sheetPr codeName="Sheet6">
    <pageSetUpPr fitToPage="1"/>
  </sheetPr>
  <dimension ref="A8:N28"/>
  <sheetViews>
    <sheetView workbookViewId="0">
      <selection activeCell="D32" sqref="D32"/>
    </sheetView>
  </sheetViews>
  <sheetFormatPr defaultRowHeight="15"/>
  <cols>
    <col min="2" max="2" width="10.7109375" customWidth="1"/>
    <col min="14" max="14" width="14" customWidth="1"/>
    <col min="18" max="18" width="8.85546875" customWidth="1"/>
  </cols>
  <sheetData>
    <row r="8" spans="1:10">
      <c r="A8" s="820" t="s">
        <v>76</v>
      </c>
      <c r="B8" s="821"/>
      <c r="C8" s="821"/>
      <c r="D8" s="821"/>
      <c r="E8" s="821"/>
      <c r="F8" s="821"/>
      <c r="G8" s="821"/>
      <c r="H8" s="821"/>
      <c r="I8" s="821"/>
      <c r="J8" s="822"/>
    </row>
    <row r="9" spans="1:10">
      <c r="A9" s="823" t="s">
        <v>133</v>
      </c>
      <c r="B9" s="824"/>
      <c r="C9" s="824"/>
      <c r="D9" s="824"/>
      <c r="E9" s="824"/>
      <c r="F9" s="824"/>
      <c r="G9" s="824"/>
      <c r="H9" s="824"/>
      <c r="I9" s="824"/>
      <c r="J9" s="824"/>
    </row>
    <row r="10" spans="1:10" ht="15" customHeight="1">
      <c r="A10" s="825"/>
      <c r="B10" s="826"/>
      <c r="C10" s="826"/>
      <c r="D10" s="826"/>
      <c r="E10" s="826"/>
      <c r="F10" s="826"/>
      <c r="G10" s="826"/>
      <c r="H10" s="826"/>
      <c r="I10" s="826"/>
      <c r="J10" s="826"/>
    </row>
    <row r="11" spans="1:10" ht="15" customHeight="1">
      <c r="A11" s="825"/>
      <c r="B11" s="826"/>
      <c r="C11" s="826"/>
      <c r="D11" s="826"/>
      <c r="E11" s="826"/>
      <c r="F11" s="826"/>
      <c r="G11" s="826"/>
      <c r="H11" s="826"/>
      <c r="I11" s="826"/>
      <c r="J11" s="826"/>
    </row>
    <row r="12" spans="1:10" ht="15.75" customHeight="1">
      <c r="A12" s="825"/>
      <c r="B12" s="826"/>
      <c r="C12" s="826"/>
      <c r="D12" s="826"/>
      <c r="E12" s="826"/>
      <c r="F12" s="826"/>
      <c r="G12" s="826"/>
      <c r="H12" s="826"/>
      <c r="I12" s="826"/>
      <c r="J12" s="826"/>
    </row>
    <row r="13" spans="1:10">
      <c r="A13" s="825"/>
      <c r="B13" s="826"/>
      <c r="C13" s="826"/>
      <c r="D13" s="826"/>
      <c r="E13" s="826"/>
      <c r="F13" s="826"/>
      <c r="G13" s="826"/>
      <c r="H13" s="826"/>
      <c r="I13" s="826"/>
      <c r="J13" s="826"/>
    </row>
    <row r="14" spans="1:10" ht="15.75" customHeight="1">
      <c r="A14" s="825"/>
      <c r="B14" s="826"/>
      <c r="C14" s="826"/>
      <c r="D14" s="826"/>
      <c r="E14" s="826"/>
      <c r="F14" s="826"/>
      <c r="G14" s="826"/>
      <c r="H14" s="826"/>
      <c r="I14" s="826"/>
      <c r="J14" s="826"/>
    </row>
    <row r="15" spans="1:10" ht="15.75" customHeight="1">
      <c r="A15" s="825"/>
      <c r="B15" s="826"/>
      <c r="C15" s="826"/>
      <c r="D15" s="826"/>
      <c r="E15" s="826"/>
      <c r="F15" s="826"/>
      <c r="G15" s="826"/>
      <c r="H15" s="826"/>
      <c r="I15" s="826"/>
      <c r="J15" s="826"/>
    </row>
    <row r="16" spans="1:10" ht="16.5" customHeight="1">
      <c r="A16" s="825"/>
      <c r="B16" s="826"/>
      <c r="C16" s="826"/>
      <c r="D16" s="826"/>
      <c r="E16" s="826"/>
      <c r="F16" s="826"/>
      <c r="G16" s="826"/>
      <c r="H16" s="826"/>
      <c r="I16" s="826"/>
      <c r="J16" s="826"/>
    </row>
    <row r="19" spans="1:14" ht="23.25">
      <c r="A19" s="827" t="s">
        <v>719</v>
      </c>
      <c r="B19" s="827"/>
      <c r="C19" s="827"/>
      <c r="D19" s="827"/>
      <c r="E19" s="827"/>
      <c r="F19" s="827"/>
      <c r="G19" s="827"/>
      <c r="H19" s="827"/>
    </row>
    <row r="20" spans="1:14">
      <c r="A20" s="829" t="s">
        <v>720</v>
      </c>
      <c r="B20" s="829"/>
      <c r="C20" s="816" t="s">
        <v>728</v>
      </c>
      <c r="D20" s="817"/>
      <c r="E20" s="817"/>
      <c r="F20" s="817"/>
      <c r="G20" s="817"/>
      <c r="H20" s="818"/>
    </row>
    <row r="21" spans="1:14">
      <c r="A21" s="632" t="s">
        <v>750</v>
      </c>
      <c r="B21" s="632"/>
      <c r="C21" s="816" t="s">
        <v>527</v>
      </c>
      <c r="D21" s="817"/>
      <c r="E21" s="817"/>
      <c r="F21" s="817"/>
      <c r="G21" s="817"/>
      <c r="H21" s="818"/>
    </row>
    <row r="22" spans="1:14">
      <c r="A22" s="829" t="s">
        <v>721</v>
      </c>
      <c r="B22" s="829"/>
      <c r="C22" s="816" t="s">
        <v>725</v>
      </c>
      <c r="D22" s="817"/>
      <c r="E22" s="817"/>
      <c r="F22" s="817"/>
      <c r="G22" s="817"/>
      <c r="H22" s="818"/>
    </row>
    <row r="23" spans="1:14">
      <c r="A23" s="829" t="s">
        <v>722</v>
      </c>
      <c r="B23" s="829"/>
      <c r="C23" s="816" t="s">
        <v>729</v>
      </c>
      <c r="D23" s="817"/>
      <c r="E23" s="817"/>
      <c r="F23" s="817"/>
      <c r="G23" s="817"/>
      <c r="H23" s="818"/>
    </row>
    <row r="24" spans="1:14">
      <c r="A24" s="829" t="s">
        <v>723</v>
      </c>
      <c r="B24" s="829"/>
      <c r="C24" s="816" t="s">
        <v>551</v>
      </c>
      <c r="D24" s="817"/>
      <c r="E24" s="817"/>
      <c r="F24" s="817"/>
      <c r="G24" s="817"/>
      <c r="H24" s="818"/>
      <c r="J24" s="631" t="s">
        <v>409</v>
      </c>
      <c r="K24" s="631"/>
      <c r="L24" s="631"/>
      <c r="M24" s="631"/>
      <c r="N24" s="631"/>
    </row>
    <row r="25" spans="1:14">
      <c r="A25" s="829" t="s">
        <v>726</v>
      </c>
      <c r="B25" s="829"/>
      <c r="C25" s="816" t="s">
        <v>727</v>
      </c>
      <c r="D25" s="817"/>
      <c r="E25" s="817"/>
      <c r="F25" s="817"/>
      <c r="G25" s="817"/>
      <c r="H25" s="818"/>
      <c r="J25" s="630" t="s">
        <v>716</v>
      </c>
      <c r="K25" s="630"/>
      <c r="L25" s="630" t="s">
        <v>527</v>
      </c>
      <c r="M25" s="630"/>
      <c r="N25" s="630">
        <v>8405802622</v>
      </c>
    </row>
    <row r="26" spans="1:14">
      <c r="A26" s="829" t="s">
        <v>724</v>
      </c>
      <c r="B26" s="829"/>
      <c r="C26" s="816">
        <v>800001</v>
      </c>
      <c r="D26" s="817"/>
      <c r="E26" s="817"/>
      <c r="F26" s="817"/>
      <c r="G26" s="817"/>
      <c r="H26" s="818"/>
      <c r="J26" s="630" t="s">
        <v>717</v>
      </c>
      <c r="K26" s="630"/>
      <c r="L26" s="630" t="s">
        <v>410</v>
      </c>
      <c r="M26" s="630"/>
      <c r="N26" s="630">
        <v>8405802652</v>
      </c>
    </row>
    <row r="27" spans="1:14">
      <c r="J27" s="630" t="s">
        <v>819</v>
      </c>
      <c r="K27" s="630"/>
      <c r="L27" s="630"/>
      <c r="M27" s="630"/>
      <c r="N27" s="630"/>
    </row>
    <row r="28" spans="1:14" ht="23.25" customHeight="1">
      <c r="A28" s="819" t="s">
        <v>820</v>
      </c>
      <c r="B28" s="819"/>
      <c r="C28" s="819"/>
      <c r="D28" s="819"/>
      <c r="E28" s="819"/>
      <c r="F28" s="819"/>
      <c r="G28" s="819"/>
      <c r="H28" s="819"/>
      <c r="K28" s="828" t="s">
        <v>262</v>
      </c>
      <c r="L28" s="828"/>
      <c r="M28" s="828"/>
      <c r="N28" s="828"/>
    </row>
  </sheetData>
  <sheetProtection sheet="1" objects="1" scenarios="1" formatCells="0" formatColumns="0" formatRows="0" insertColumns="0" insertRows="0" insertHyperlinks="0" deleteColumns="0" deleteRows="0" sort="0" autoFilter="0" pivotTables="0"/>
  <customSheetViews>
    <customSheetView guid="{90D8D907-8142-40B5-8083-592E26272F1C}">
      <selection activeCell="G29" sqref="G29"/>
      <pageMargins left="0.7" right="0.7" top="0.75" bottom="0.75" header="0.3" footer="0.3"/>
      <pageSetup orientation="portrait" r:id="rId1"/>
    </customSheetView>
  </customSheetViews>
  <mergeCells count="18">
    <mergeCell ref="K28:N28"/>
    <mergeCell ref="C26:H26"/>
    <mergeCell ref="A20:B20"/>
    <mergeCell ref="A22:B22"/>
    <mergeCell ref="A23:B23"/>
    <mergeCell ref="A24:B24"/>
    <mergeCell ref="A26:B26"/>
    <mergeCell ref="A25:B25"/>
    <mergeCell ref="C25:H25"/>
    <mergeCell ref="C21:H21"/>
    <mergeCell ref="C20:H20"/>
    <mergeCell ref="C22:H22"/>
    <mergeCell ref="C23:H23"/>
    <mergeCell ref="C24:H24"/>
    <mergeCell ref="A28:H28"/>
    <mergeCell ref="A8:J8"/>
    <mergeCell ref="A9:J16"/>
    <mergeCell ref="A19:H19"/>
  </mergeCells>
  <pageMargins left="0.7" right="0.7" top="0.75" bottom="0.75" header="0.3" footer="0.3"/>
  <pageSetup scale="62" orientation="portrait" r:id="rId2"/>
  <drawing r:id="rId3"/>
</worksheet>
</file>

<file path=xl/worksheets/sheet2.xml><?xml version="1.0" encoding="utf-8"?>
<worksheet xmlns="http://schemas.openxmlformats.org/spreadsheetml/2006/main" xmlns:r="http://schemas.openxmlformats.org/officeDocument/2006/relationships">
  <sheetPr codeName="Sheet7">
    <pageSetUpPr fitToPage="1"/>
  </sheetPr>
  <dimension ref="A1:F48"/>
  <sheetViews>
    <sheetView workbookViewId="0">
      <selection activeCell="E47" sqref="E47"/>
    </sheetView>
  </sheetViews>
  <sheetFormatPr defaultRowHeight="15"/>
  <cols>
    <col min="1" max="1" width="20.85546875" style="597" customWidth="1"/>
    <col min="2" max="2" width="22.140625" style="597" customWidth="1"/>
    <col min="3" max="3" width="8" style="597" customWidth="1"/>
    <col min="4" max="4" width="5" style="597" customWidth="1"/>
    <col min="5" max="5" width="15.28515625" style="597" customWidth="1"/>
    <col min="6" max="6" width="9.140625" style="597"/>
    <col min="7" max="7" width="4.5703125" style="597" customWidth="1"/>
    <col min="8" max="16384" width="9.140625" style="597"/>
  </cols>
  <sheetData>
    <row r="1" spans="1:6" ht="23.25">
      <c r="A1" s="852" t="s">
        <v>739</v>
      </c>
      <c r="B1" s="852"/>
      <c r="C1" s="852"/>
      <c r="D1" s="852"/>
      <c r="E1" s="852"/>
      <c r="F1" s="852"/>
    </row>
    <row r="2" spans="1:6" ht="18.75">
      <c r="A2" s="831" t="str">
        <f>'Data Entry'!B45</f>
        <v>Aastha Honda Patna</v>
      </c>
      <c r="B2" s="831"/>
      <c r="C2" s="831"/>
      <c r="D2" s="831"/>
      <c r="E2" s="831"/>
      <c r="F2" s="831"/>
    </row>
    <row r="3" spans="1:6" ht="15.75">
      <c r="A3" s="602" t="s">
        <v>736</v>
      </c>
      <c r="B3" s="602"/>
      <c r="C3" s="613"/>
      <c r="D3" s="613"/>
      <c r="E3" s="613"/>
      <c r="F3" s="613"/>
    </row>
    <row r="4" spans="1:6">
      <c r="A4" s="598" t="s">
        <v>446</v>
      </c>
      <c r="B4" s="838">
        <f>'Data Entry'!B3</f>
        <v>0</v>
      </c>
      <c r="C4" s="839"/>
      <c r="E4" s="832" t="s">
        <v>515</v>
      </c>
      <c r="F4" s="833"/>
    </row>
    <row r="5" spans="1:6">
      <c r="A5" s="599" t="s">
        <v>426</v>
      </c>
      <c r="B5" s="840">
        <f>'Data Entry'!B4</f>
        <v>0</v>
      </c>
      <c r="C5" s="841"/>
      <c r="E5" s="834"/>
      <c r="F5" s="835"/>
    </row>
    <row r="6" spans="1:6" ht="15.75">
      <c r="A6" s="599" t="s">
        <v>425</v>
      </c>
      <c r="B6" s="842" t="str">
        <f>'Data Entry'!B5</f>
        <v xml:space="preserve">Mr. </v>
      </c>
      <c r="C6" s="843"/>
      <c r="D6" s="600"/>
      <c r="E6" s="834"/>
      <c r="F6" s="835"/>
    </row>
    <row r="7" spans="1:6">
      <c r="A7" s="599" t="s">
        <v>427</v>
      </c>
      <c r="B7" s="844">
        <f>'Data Entry'!D10</f>
        <v>0</v>
      </c>
      <c r="C7" s="845"/>
      <c r="E7" s="834"/>
      <c r="F7" s="835"/>
    </row>
    <row r="8" spans="1:6">
      <c r="A8" s="599" t="s">
        <v>428</v>
      </c>
      <c r="B8" s="846">
        <f>'Data Entry'!B18</f>
        <v>0</v>
      </c>
      <c r="C8" s="847"/>
      <c r="E8" s="834"/>
      <c r="F8" s="835"/>
    </row>
    <row r="9" spans="1:6">
      <c r="A9" s="599" t="s">
        <v>429</v>
      </c>
      <c r="B9" s="846" t="str">
        <f>'Data Entry'!B23</f>
        <v xml:space="preserve">M/S Maruti </v>
      </c>
      <c r="C9" s="847"/>
      <c r="E9" s="834"/>
      <c r="F9" s="835"/>
    </row>
    <row r="10" spans="1:6">
      <c r="A10" s="601" t="s">
        <v>430</v>
      </c>
      <c r="B10" s="848">
        <f>'Data Entry'!B38</f>
        <v>0</v>
      </c>
      <c r="C10" s="849"/>
      <c r="E10" s="836"/>
      <c r="F10" s="837"/>
    </row>
    <row r="12" spans="1:6" ht="15.75">
      <c r="A12" s="602" t="s">
        <v>447</v>
      </c>
      <c r="B12" s="602"/>
      <c r="C12" s="613"/>
      <c r="D12" s="613"/>
      <c r="E12" s="613"/>
      <c r="F12" s="613"/>
    </row>
    <row r="13" spans="1:6">
      <c r="B13" s="603" t="s">
        <v>431</v>
      </c>
      <c r="C13" s="604"/>
      <c r="E13" s="603" t="s">
        <v>433</v>
      </c>
      <c r="F13" s="604"/>
    </row>
    <row r="14" spans="1:6">
      <c r="B14" s="603" t="s">
        <v>432</v>
      </c>
      <c r="C14" s="604"/>
      <c r="E14" s="603" t="s">
        <v>434</v>
      </c>
      <c r="F14" s="604"/>
    </row>
    <row r="15" spans="1:6">
      <c r="B15" s="603" t="s">
        <v>440</v>
      </c>
      <c r="C15" s="604"/>
      <c r="E15" s="603"/>
    </row>
    <row r="16" spans="1:6">
      <c r="B16" s="603" t="s">
        <v>435</v>
      </c>
      <c r="C16" s="604"/>
      <c r="E16" s="603" t="s">
        <v>732</v>
      </c>
      <c r="F16" s="604"/>
    </row>
    <row r="17" spans="1:6">
      <c r="B17" s="603" t="s">
        <v>436</v>
      </c>
      <c r="C17" s="604"/>
      <c r="E17" s="603" t="s">
        <v>439</v>
      </c>
      <c r="F17" s="604"/>
    </row>
    <row r="18" spans="1:6">
      <c r="B18" s="603" t="s">
        <v>437</v>
      </c>
      <c r="C18" s="604"/>
      <c r="E18" s="853" t="s">
        <v>438</v>
      </c>
      <c r="F18" s="854"/>
    </row>
    <row r="19" spans="1:6">
      <c r="B19" s="605" t="s">
        <v>735</v>
      </c>
      <c r="C19" s="604"/>
      <c r="E19" s="853"/>
      <c r="F19" s="854"/>
    </row>
    <row r="21" spans="1:6" ht="15.75">
      <c r="A21" s="602" t="s">
        <v>516</v>
      </c>
      <c r="B21" s="606"/>
      <c r="C21" s="613"/>
      <c r="D21" s="613"/>
      <c r="E21" s="613"/>
      <c r="F21" s="613"/>
    </row>
    <row r="22" spans="1:6">
      <c r="A22" s="598" t="s">
        <v>135</v>
      </c>
      <c r="B22" s="607" t="str">
        <f>IF('Processing Sheet'!C9&lt;&gt;"",'Processing Sheet'!C9,"")</f>
        <v/>
      </c>
      <c r="C22" s="608" t="s">
        <v>441</v>
      </c>
      <c r="D22" s="607"/>
      <c r="E22" s="850" t="str">
        <f>IF('Processing Sheet'!C10&lt;&gt;"",'Processing Sheet'!C10,"")</f>
        <v/>
      </c>
      <c r="F22" s="851"/>
    </row>
    <row r="23" spans="1:6">
      <c r="A23" s="599" t="s">
        <v>442</v>
      </c>
      <c r="B23" s="609" t="str">
        <f>IF('Processing Sheet'!F9&lt;&gt;"",'Processing Sheet'!F9,"")</f>
        <v>Dilip Kumar Sinha</v>
      </c>
      <c r="C23" s="610" t="s">
        <v>441</v>
      </c>
      <c r="D23" s="609"/>
      <c r="E23" s="844" t="str">
        <f>IF('Processing Sheet'!F10&lt;&gt;"",'Processing Sheet'!F10,"")</f>
        <v/>
      </c>
      <c r="F23" s="845"/>
    </row>
    <row r="24" spans="1:6">
      <c r="A24" s="601" t="s">
        <v>443</v>
      </c>
      <c r="B24" s="611" t="str">
        <f>IF('Processing Sheet'!I9&lt;&gt;"",'Processing Sheet'!I9,"")</f>
        <v/>
      </c>
      <c r="C24" s="612" t="s">
        <v>441</v>
      </c>
      <c r="D24" s="611"/>
      <c r="E24" s="848" t="str">
        <f>IF('Processing Sheet'!I10&lt;&gt;"",'Processing Sheet'!I10,"")</f>
        <v/>
      </c>
      <c r="F24" s="849"/>
    </row>
    <row r="26" spans="1:6" ht="15.75">
      <c r="A26" s="602" t="s">
        <v>448</v>
      </c>
      <c r="B26" s="613"/>
      <c r="C26" s="613"/>
      <c r="D26" s="613"/>
      <c r="E26" s="613"/>
      <c r="F26" s="613"/>
    </row>
    <row r="27" spans="1:6">
      <c r="A27" s="614" t="s">
        <v>730</v>
      </c>
      <c r="B27" s="604"/>
      <c r="C27" s="615"/>
      <c r="D27" s="615"/>
      <c r="E27" s="615"/>
      <c r="F27" s="615"/>
    </row>
    <row r="28" spans="1:6">
      <c r="A28" s="614" t="s">
        <v>731</v>
      </c>
      <c r="B28" s="604"/>
      <c r="C28" s="615"/>
      <c r="D28" s="615"/>
      <c r="E28" s="615"/>
      <c r="F28" s="615"/>
    </row>
    <row r="29" spans="1:6">
      <c r="A29" s="614" t="s">
        <v>444</v>
      </c>
      <c r="B29" s="604" t="str">
        <f>IF('Processing Sheet'!D59&lt;&gt;"",'Processing Sheet'!D59,"")</f>
        <v/>
      </c>
      <c r="C29" s="615"/>
      <c r="D29" s="615"/>
      <c r="E29" s="615"/>
      <c r="F29" s="615"/>
    </row>
    <row r="30" spans="1:6">
      <c r="A30" s="614" t="s">
        <v>448</v>
      </c>
      <c r="B30" s="604">
        <f>'Processing Sheet'!H59</f>
        <v>-1000</v>
      </c>
      <c r="C30" s="615"/>
      <c r="D30" s="615"/>
      <c r="E30" s="615"/>
      <c r="F30" s="615"/>
    </row>
    <row r="31" spans="1:6">
      <c r="A31" s="614" t="s">
        <v>445</v>
      </c>
      <c r="B31" s="604"/>
      <c r="C31" s="615"/>
      <c r="D31" s="615"/>
      <c r="E31" s="615"/>
      <c r="F31" s="620" t="s">
        <v>815</v>
      </c>
    </row>
    <row r="33" spans="1:6">
      <c r="A33" s="855" t="s">
        <v>733</v>
      </c>
      <c r="B33" s="855"/>
      <c r="C33" s="855"/>
      <c r="D33" s="855"/>
      <c r="E33" s="855"/>
      <c r="F33" s="855"/>
    </row>
    <row r="34" spans="1:6">
      <c r="A34" s="616"/>
      <c r="B34" s="616"/>
      <c r="C34" s="616"/>
      <c r="D34" s="616"/>
      <c r="E34" s="616"/>
      <c r="F34" s="616"/>
    </row>
    <row r="35" spans="1:6">
      <c r="A35" s="856" t="s">
        <v>734</v>
      </c>
      <c r="B35" s="856"/>
      <c r="C35" s="856"/>
      <c r="D35" s="856"/>
      <c r="E35" s="856"/>
      <c r="F35" s="856"/>
    </row>
    <row r="36" spans="1:6" ht="35.25" customHeight="1">
      <c r="A36" s="830" t="str">
        <f>"We, hereby acknoledge the receipt of the following claim file to be submitted to National Insurance Co. Ltd, "&amp;'Instruction Sheet'!C20</f>
        <v>We, hereby acknoledge the receipt of the following claim file to be submitted to National Insurance Co. Ltd, Strategic Alliance Auto Tieup Hub (Patna)</v>
      </c>
      <c r="B36" s="830"/>
      <c r="C36" s="830"/>
      <c r="D36" s="830"/>
      <c r="E36" s="830"/>
      <c r="F36" s="830"/>
    </row>
    <row r="37" spans="1:6">
      <c r="A37" s="608" t="s">
        <v>446</v>
      </c>
      <c r="B37" s="624">
        <f>B4</f>
        <v>0</v>
      </c>
      <c r="C37" s="625"/>
      <c r="D37" s="626"/>
      <c r="E37" s="617"/>
      <c r="F37" s="617"/>
    </row>
    <row r="38" spans="1:6">
      <c r="A38" s="610" t="s">
        <v>426</v>
      </c>
      <c r="B38" s="621">
        <f>B5</f>
        <v>0</v>
      </c>
      <c r="C38" s="622"/>
      <c r="D38" s="627"/>
      <c r="E38" s="617"/>
      <c r="F38" s="617"/>
    </row>
    <row r="39" spans="1:6">
      <c r="A39" s="610" t="s">
        <v>425</v>
      </c>
      <c r="B39" s="621" t="str">
        <f>B6</f>
        <v xml:space="preserve">Mr. </v>
      </c>
      <c r="C39" s="622"/>
      <c r="D39" s="627"/>
      <c r="E39" s="617"/>
      <c r="F39" s="617"/>
    </row>
    <row r="40" spans="1:6">
      <c r="A40" s="610" t="s">
        <v>428</v>
      </c>
      <c r="B40" s="621">
        <f>B8</f>
        <v>0</v>
      </c>
      <c r="C40" s="615"/>
      <c r="D40" s="609"/>
    </row>
    <row r="41" spans="1:6">
      <c r="A41" s="610" t="s">
        <v>429</v>
      </c>
      <c r="B41" s="621" t="str">
        <f>B9</f>
        <v xml:space="preserve">M/S Maruti </v>
      </c>
      <c r="C41" s="615"/>
      <c r="D41" s="609"/>
    </row>
    <row r="42" spans="1:6">
      <c r="A42" s="610" t="s">
        <v>430</v>
      </c>
      <c r="B42" s="623">
        <f>B10</f>
        <v>0</v>
      </c>
      <c r="C42" s="615"/>
      <c r="D42" s="609"/>
    </row>
    <row r="43" spans="1:6">
      <c r="A43" s="610" t="s">
        <v>441</v>
      </c>
      <c r="B43" s="618" t="str">
        <f>E23</f>
        <v/>
      </c>
      <c r="C43" s="615"/>
      <c r="D43" s="609"/>
    </row>
    <row r="44" spans="1:6">
      <c r="A44" s="612" t="s">
        <v>738</v>
      </c>
      <c r="B44" s="629" t="str">
        <f>B23&amp;" (SLA : "&amp;'Data Entry'!B66&amp;")"</f>
        <v>Dilip Kumar Sinha (SLA : 63315)</v>
      </c>
      <c r="C44" s="628"/>
      <c r="D44" s="611"/>
    </row>
    <row r="46" spans="1:6">
      <c r="A46" s="603" t="s">
        <v>552</v>
      </c>
    </row>
    <row r="47" spans="1:6">
      <c r="F47" s="619" t="s">
        <v>737</v>
      </c>
    </row>
    <row r="48" spans="1:6">
      <c r="F48" s="619" t="str">
        <f>A2</f>
        <v>Aastha Honda Patna</v>
      </c>
    </row>
  </sheetData>
  <sheetProtection sheet="1" objects="1" scenarios="1" formatCells="0" formatColumns="0" formatRows="0" insertColumns="0" insertRows="0" insertHyperlinks="0" sort="0" autoFilter="0" pivotTables="0"/>
  <mergeCells count="18">
    <mergeCell ref="A1:F1"/>
    <mergeCell ref="E18:E19"/>
    <mergeCell ref="F18:F19"/>
    <mergeCell ref="A33:F33"/>
    <mergeCell ref="A35:F35"/>
    <mergeCell ref="A36:F36"/>
    <mergeCell ref="A2:F2"/>
    <mergeCell ref="E4:F10"/>
    <mergeCell ref="B4:C4"/>
    <mergeCell ref="B5:C5"/>
    <mergeCell ref="B6:C6"/>
    <mergeCell ref="B7:C7"/>
    <mergeCell ref="B8:C8"/>
    <mergeCell ref="B9:C9"/>
    <mergeCell ref="B10:C10"/>
    <mergeCell ref="E22:F22"/>
    <mergeCell ref="E23:F23"/>
    <mergeCell ref="E24:F24"/>
  </mergeCells>
  <printOptions horizontalCentered="1"/>
  <pageMargins left="0.70866141732283472" right="0.64" top="0.55118110236220474" bottom="0.62992125984251968"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sheetPr codeName="Sheet8"/>
  <dimension ref="A3:L142"/>
  <sheetViews>
    <sheetView zoomScaleSheetLayoutView="80" workbookViewId="0">
      <selection activeCell="B143" sqref="B143"/>
    </sheetView>
  </sheetViews>
  <sheetFormatPr defaultRowHeight="15"/>
  <cols>
    <col min="1" max="1" width="5.85546875" style="401" customWidth="1"/>
    <col min="2" max="2" width="30.85546875" style="401" customWidth="1"/>
    <col min="3" max="3" width="10.28515625" style="401" customWidth="1"/>
    <col min="4" max="4" width="8.85546875" style="401" customWidth="1"/>
    <col min="5" max="5" width="11.42578125" style="401" customWidth="1"/>
    <col min="6" max="6" width="10.85546875" style="401" customWidth="1"/>
    <col min="7" max="7" width="10.140625" style="401" customWidth="1"/>
    <col min="8" max="8" width="6.140625" style="401" customWidth="1"/>
    <col min="9" max="9" width="6.42578125" style="401" customWidth="1"/>
    <col min="10" max="16384" width="9.140625" style="401"/>
  </cols>
  <sheetData>
    <row r="3" spans="1:9" ht="21">
      <c r="A3" s="400" t="s">
        <v>555</v>
      </c>
    </row>
    <row r="4" spans="1:9">
      <c r="A4" s="864" t="str">
        <f>'Instruction Sheet'!C20&amp;", "&amp;'Instruction Sheet'!C23&amp;", "&amp;'Instruction Sheet'!C24&amp;"-"&amp;'Instruction Sheet'!C26&amp;", "&amp;'Instruction Sheet'!C25</f>
        <v>Strategic Alliance Auto Tieup Hub (Patna), "Jeewan Prakash", Fraser Road, Patna-800001, Bihar</v>
      </c>
      <c r="B4" s="864"/>
      <c r="C4" s="864"/>
      <c r="D4" s="864"/>
      <c r="E4" s="864"/>
      <c r="F4" s="864"/>
      <c r="G4" s="864"/>
      <c r="H4" s="409"/>
      <c r="I4" s="409"/>
    </row>
    <row r="6" spans="1:9" ht="15.75">
      <c r="A6" s="880" t="s">
        <v>546</v>
      </c>
      <c r="B6" s="880"/>
      <c r="C6" s="880"/>
      <c r="D6" s="880"/>
      <c r="E6" s="880"/>
      <c r="F6" s="880"/>
      <c r="G6" s="880"/>
      <c r="H6" s="474"/>
      <c r="I6" s="474"/>
    </row>
    <row r="7" spans="1:9">
      <c r="F7" s="403" t="s">
        <v>552</v>
      </c>
      <c r="G7" s="475">
        <f ca="1">'Processing Sheet'!I12</f>
        <v>46137</v>
      </c>
      <c r="H7" s="413"/>
    </row>
    <row r="9" spans="1:9">
      <c r="A9" s="404" t="s">
        <v>547</v>
      </c>
    </row>
    <row r="10" spans="1:9">
      <c r="A10" s="404" t="str">
        <f>'Data Entry'!B45</f>
        <v>Aastha Honda Patna</v>
      </c>
    </row>
    <row r="11" spans="1:9">
      <c r="A11" s="404" t="str">
        <f>'Data Entry'!H6</f>
        <v>Patna</v>
      </c>
    </row>
    <row r="13" spans="1:9" ht="15.75">
      <c r="A13" s="479" t="str">
        <f>"Surveyor : "&amp;'Data Entry'!B60</f>
        <v>Surveyor : Dilip Kumar Sinha</v>
      </c>
      <c r="B13" s="480"/>
      <c r="C13" s="402"/>
      <c r="D13" s="402"/>
      <c r="E13" s="402"/>
      <c r="F13" s="478" t="s">
        <v>646</v>
      </c>
      <c r="G13" s="414">
        <f>'Data Entry'!B38</f>
        <v>0</v>
      </c>
      <c r="H13" s="477"/>
      <c r="I13" s="409"/>
    </row>
    <row r="14" spans="1:9">
      <c r="A14" s="476" t="str">
        <f xml:space="preserve"> "Insured Name :  " &amp;'Data Entry'!B5</f>
        <v xml:space="preserve">Insured Name :  Mr. </v>
      </c>
      <c r="B14" s="476"/>
      <c r="C14" s="476"/>
      <c r="D14" s="476"/>
      <c r="E14" s="476"/>
      <c r="F14" s="476"/>
      <c r="G14" s="476"/>
      <c r="H14" s="476"/>
      <c r="I14" s="476"/>
    </row>
    <row r="15" spans="1:9">
      <c r="A15" s="404" t="str">
        <f>"Vehicle Reg No :  "&amp;'Data Entry'!B18&amp;"   Chasis No. : "&amp;'Data Entry'!B21&amp;"    Vehicle Model :  "&amp;'Data Entry'!B23</f>
        <v xml:space="preserve">Vehicle Reg No :     Chasis No. :     Vehicle Model :  M/S Maruti </v>
      </c>
      <c r="B15" s="404"/>
      <c r="C15" s="404"/>
      <c r="D15" s="404"/>
      <c r="E15" s="404"/>
      <c r="F15" s="404"/>
      <c r="G15" s="404"/>
      <c r="H15" s="404"/>
      <c r="I15" s="404"/>
    </row>
    <row r="16" spans="1:9">
      <c r="A16" s="404" t="str">
        <f xml:space="preserve"> "Claim No  : "&amp;'Data Entry'!B3</f>
        <v xml:space="preserve">Claim No  : </v>
      </c>
      <c r="B16" s="404"/>
      <c r="C16" s="404"/>
      <c r="D16" s="404"/>
      <c r="E16" s="404"/>
      <c r="F16" s="404"/>
      <c r="G16" s="404"/>
      <c r="H16" s="404"/>
      <c r="I16" s="404"/>
    </row>
    <row r="17" spans="1:9">
      <c r="A17" s="473" t="str">
        <f xml:space="preserve"> "Policy No. : " &amp; 'Data Entry'!B4</f>
        <v xml:space="preserve">Policy No. : </v>
      </c>
      <c r="B17" s="473"/>
      <c r="C17" s="473"/>
      <c r="D17" s="473"/>
      <c r="E17" s="473"/>
      <c r="F17" s="473"/>
      <c r="G17" s="473"/>
      <c r="H17" s="476"/>
      <c r="I17" s="476"/>
    </row>
    <row r="19" spans="1:9" ht="45.75" customHeight="1">
      <c r="A19" s="863" t="s">
        <v>550</v>
      </c>
      <c r="B19" s="863"/>
      <c r="C19" s="863"/>
      <c r="D19" s="863"/>
      <c r="E19" s="863"/>
      <c r="F19" s="863"/>
      <c r="G19" s="863"/>
      <c r="H19" s="472"/>
      <c r="I19" s="472"/>
    </row>
    <row r="21" spans="1:9">
      <c r="A21" s="860" t="str">
        <f>"Invocie No. : " &amp; 'Processing Sheet'!D61</f>
        <v>Invocie No. : JC25001035</v>
      </c>
      <c r="B21" s="860"/>
      <c r="C21" s="860"/>
      <c r="D21" s="860"/>
      <c r="E21" s="405" t="s">
        <v>554</v>
      </c>
      <c r="F21" s="862">
        <f>'Processing Sheet'!I61</f>
        <v>45977</v>
      </c>
      <c r="G21" s="862"/>
    </row>
    <row r="22" spans="1:9">
      <c r="A22" s="860" t="str">
        <f>"Invoice amount : Rs."&amp;'Processing Sheet'!D60&amp;"/-"</f>
        <v>Invoice amount : Rs.23047/-</v>
      </c>
      <c r="B22" s="860"/>
      <c r="C22" s="860"/>
      <c r="D22" s="860"/>
    </row>
    <row r="23" spans="1:9">
      <c r="A23" s="861" t="str">
        <f>"Claim Liability : Rs."&amp;MIN('Processing Sheet'!H58,('Processing Sheet'!D60-'Processing Sheet'!D59))&amp;"/-"</f>
        <v>Claim Liability : Rs.-1000/-</v>
      </c>
      <c r="B23" s="861"/>
      <c r="C23" s="861"/>
      <c r="D23" s="861"/>
    </row>
    <row r="25" spans="1:9" ht="52.5" customHeight="1">
      <c r="A25" s="863" t="s">
        <v>553</v>
      </c>
      <c r="B25" s="863"/>
      <c r="C25" s="863"/>
      <c r="D25" s="863"/>
      <c r="E25" s="863"/>
      <c r="F25" s="863"/>
      <c r="G25" s="863"/>
      <c r="H25" s="472"/>
      <c r="I25" s="472"/>
    </row>
    <row r="28" spans="1:9">
      <c r="A28" s="401" t="s">
        <v>548</v>
      </c>
    </row>
    <row r="29" spans="1:9">
      <c r="A29" s="404" t="s">
        <v>549</v>
      </c>
    </row>
    <row r="30" spans="1:9">
      <c r="A30" s="404" t="s">
        <v>527</v>
      </c>
    </row>
    <row r="37" spans="1:9">
      <c r="B37" s="401" t="s">
        <v>657</v>
      </c>
    </row>
    <row r="42" spans="1:9" ht="15.75">
      <c r="A42" s="882" t="s">
        <v>132</v>
      </c>
      <c r="B42" s="882"/>
      <c r="C42" s="882"/>
      <c r="D42" s="444" t="str">
        <f>"Depreciation on Metal Parts : "&amp;'Processing Sheet'!E31&amp;"%"</f>
        <v>Depreciation on Metal Parts : 0%</v>
      </c>
      <c r="E42" s="445"/>
      <c r="F42" s="445"/>
      <c r="G42" s="443"/>
      <c r="H42" s="442"/>
    </row>
    <row r="43" spans="1:9" ht="33.75" customHeight="1">
      <c r="A43" s="415" t="s">
        <v>25</v>
      </c>
      <c r="B43" s="446" t="s">
        <v>184</v>
      </c>
      <c r="C43" s="447" t="s">
        <v>185</v>
      </c>
      <c r="D43" s="415" t="s">
        <v>638</v>
      </c>
      <c r="E43" s="415" t="s">
        <v>643</v>
      </c>
      <c r="F43" s="415" t="s">
        <v>638</v>
      </c>
      <c r="G43" s="419" t="s">
        <v>644</v>
      </c>
      <c r="H43" s="419" t="s">
        <v>638</v>
      </c>
    </row>
    <row r="44" spans="1:9" ht="25.5">
      <c r="A44" s="448">
        <v>1</v>
      </c>
      <c r="B44" s="449" t="s">
        <v>740</v>
      </c>
      <c r="C44" s="450" t="s">
        <v>741</v>
      </c>
      <c r="D44" s="587">
        <f>IF('Assessment Sheet'!D79&lt;&gt;"",'Assessment Sheet'!D79,"")</f>
        <v>0.18</v>
      </c>
      <c r="E44" s="588">
        <f>IF('Assessment Sheet'!I79&lt;&gt;"",'Assessment Sheet'!I79,"")</f>
        <v>0</v>
      </c>
      <c r="F44" s="588">
        <f>IF('Assessment Sheet'!J79&lt;&gt;"",'Assessment Sheet'!J79,"")</f>
        <v>0</v>
      </c>
      <c r="G44" s="419" t="e">
        <f>IF(E44&lt;&gt;"",('Processing Sheet'!#REF!-'Processing Sheet'!#REF!),"")</f>
        <v>#REF!</v>
      </c>
      <c r="H44" s="419" t="e">
        <f>IF(G44&lt;&gt;"",G44*D44/100,"")</f>
        <v>#REF!</v>
      </c>
    </row>
    <row r="45" spans="1:9" ht="25.5">
      <c r="A45" s="448">
        <v>2</v>
      </c>
      <c r="B45" s="449" t="s">
        <v>641</v>
      </c>
      <c r="C45" s="452" t="s">
        <v>121</v>
      </c>
      <c r="D45" s="587">
        <f>IF('Assessment Sheet'!D80&lt;&gt;"",'Assessment Sheet'!D80,"")</f>
        <v>0.18</v>
      </c>
      <c r="E45" s="588">
        <f>IF('Assessment Sheet'!I80&lt;&gt;"",'Assessment Sheet'!I80,"")</f>
        <v>0</v>
      </c>
      <c r="F45" s="588">
        <f>IF('Assessment Sheet'!J80&lt;&gt;"",'Assessment Sheet'!J80,"")</f>
        <v>0</v>
      </c>
      <c r="G45" s="419" t="e">
        <f>IF('Processing Sheet'!#REF!=0,0,IF(E45&lt;&gt;"",('Processing Sheet'!#REF!-'Processing Sheet'!#REF!),""))</f>
        <v>#REF!</v>
      </c>
      <c r="H45" s="419" t="e">
        <f>IF(G45&lt;&gt;"",G45*D45/100,"")</f>
        <v>#REF!</v>
      </c>
    </row>
    <row r="46" spans="1:9">
      <c r="A46" s="160"/>
      <c r="B46" s="453"/>
      <c r="C46" s="454"/>
      <c r="D46" s="455"/>
      <c r="E46" s="417"/>
      <c r="F46" s="417"/>
      <c r="G46" s="420"/>
      <c r="H46" s="419"/>
      <c r="I46" s="409"/>
    </row>
    <row r="47" spans="1:9">
      <c r="A47" s="448">
        <v>1</v>
      </c>
      <c r="B47" s="456" t="str">
        <f>IF('Assessment Sheet'!B81&lt;&gt;"",'Assessment Sheet'!B81,"")</f>
        <v/>
      </c>
      <c r="C47" s="456" t="str">
        <f>IF('Assessment Sheet'!C81&lt;&gt;"",'Assessment Sheet'!C81,"")</f>
        <v>PLASTIC</v>
      </c>
      <c r="D47" s="587">
        <f>IF('Assessment Sheet'!C81&lt;&gt;"",'Assessment Sheet'!D81,"")</f>
        <v>0.18</v>
      </c>
      <c r="E47" s="588" t="str">
        <f>IF('Assessment Sheet'!B81&lt;&gt;"",'Assessment Sheet'!I81,"")</f>
        <v/>
      </c>
      <c r="F47" s="588">
        <f>IF('Assessment Sheet'!J81&lt;&gt;"",'Assessment Sheet'!J81,"")</f>
        <v>0</v>
      </c>
      <c r="G47" s="419" t="str">
        <f>IF(E47&lt;&gt;"",('Processing Sheet'!#REF!-'Processing Sheet'!#REF!),"")</f>
        <v/>
      </c>
      <c r="H47" s="419" t="str">
        <f>IF(G47&lt;&gt;"",G47*D47/100,"")</f>
        <v/>
      </c>
    </row>
    <row r="48" spans="1:9">
      <c r="A48" s="448">
        <v>2</v>
      </c>
      <c r="B48" s="456" t="str">
        <f>IF('Assessment Sheet'!B82&lt;&gt;"",'Assessment Sheet'!B82,"")</f>
        <v/>
      </c>
      <c r="C48" s="456" t="str">
        <f>IF('Assessment Sheet'!C82&lt;&gt;"",'Assessment Sheet'!C82,"")</f>
        <v>PLASTIC</v>
      </c>
      <c r="D48" s="587">
        <f>IF('Assessment Sheet'!C82&lt;&gt;"",'Assessment Sheet'!D82,"")</f>
        <v>0.18</v>
      </c>
      <c r="E48" s="588" t="str">
        <f>IF('Assessment Sheet'!B82&lt;&gt;"",'Assessment Sheet'!I82,"")</f>
        <v/>
      </c>
      <c r="F48" s="588">
        <f>IF('Assessment Sheet'!J82&lt;&gt;"",'Assessment Sheet'!J82,"")</f>
        <v>0</v>
      </c>
      <c r="G48" s="419" t="str">
        <f>IF(E48&lt;&gt;"",('Processing Sheet'!#REF!-'Processing Sheet'!#REF!),"")</f>
        <v/>
      </c>
      <c r="H48" s="419" t="str">
        <f t="shared" ref="H48:H71" si="0">IF(G48&lt;&gt;"",G48*D48/100,"")</f>
        <v/>
      </c>
    </row>
    <row r="49" spans="1:8">
      <c r="A49" s="448">
        <v>3</v>
      </c>
      <c r="B49" s="456" t="str">
        <f>IF('Assessment Sheet'!B83&lt;&gt;"",'Assessment Sheet'!B83,"")</f>
        <v/>
      </c>
      <c r="C49" s="456" t="str">
        <f>IF('Assessment Sheet'!C83&lt;&gt;"",'Assessment Sheet'!C83,"")</f>
        <v>PLASTIC</v>
      </c>
      <c r="D49" s="587">
        <f>IF('Assessment Sheet'!C83&lt;&gt;"",'Assessment Sheet'!D83,"")</f>
        <v>0.18</v>
      </c>
      <c r="E49" s="588" t="str">
        <f>IF('Assessment Sheet'!B83&lt;&gt;"",'Assessment Sheet'!I83,"")</f>
        <v/>
      </c>
      <c r="F49" s="588">
        <f>IF('Assessment Sheet'!J83&lt;&gt;"",'Assessment Sheet'!J83,"")</f>
        <v>0</v>
      </c>
      <c r="G49" s="419" t="str">
        <f>IF(E49&lt;&gt;"",('Processing Sheet'!#REF!-'Processing Sheet'!#REF!),"")</f>
        <v/>
      </c>
      <c r="H49" s="419" t="str">
        <f t="shared" si="0"/>
        <v/>
      </c>
    </row>
    <row r="50" spans="1:8">
      <c r="A50" s="448">
        <v>4</v>
      </c>
      <c r="B50" s="456" t="str">
        <f>IF('Assessment Sheet'!B84&lt;&gt;"",'Assessment Sheet'!B84,"")</f>
        <v/>
      </c>
      <c r="C50" s="456" t="str">
        <f>IF('Assessment Sheet'!C84&lt;&gt;"",'Assessment Sheet'!C84,"")</f>
        <v>PLASTIC</v>
      </c>
      <c r="D50" s="587">
        <f>IF('Assessment Sheet'!C84&lt;&gt;"",'Assessment Sheet'!D84,"")</f>
        <v>0.18</v>
      </c>
      <c r="E50" s="588" t="str">
        <f>IF('Assessment Sheet'!B84&lt;&gt;"",'Assessment Sheet'!I84,"")</f>
        <v/>
      </c>
      <c r="F50" s="588">
        <f>IF('Assessment Sheet'!J84&lt;&gt;"",'Assessment Sheet'!J84,"")</f>
        <v>0</v>
      </c>
      <c r="G50" s="419" t="str">
        <f>IF(E50&lt;&gt;"",('Processing Sheet'!#REF!-'Processing Sheet'!#REF!),"")</f>
        <v/>
      </c>
      <c r="H50" s="419" t="str">
        <f t="shared" si="0"/>
        <v/>
      </c>
    </row>
    <row r="51" spans="1:8">
      <c r="A51" s="448">
        <v>5</v>
      </c>
      <c r="B51" s="456" t="str">
        <f>IF('Assessment Sheet'!B85&lt;&gt;"",'Assessment Sheet'!B85,"")</f>
        <v/>
      </c>
      <c r="C51" s="456" t="str">
        <f>IF('Assessment Sheet'!C85&lt;&gt;"",'Assessment Sheet'!C85,"")</f>
        <v>GLASS</v>
      </c>
      <c r="D51" s="587">
        <f>IF('Assessment Sheet'!C85&lt;&gt;"",'Assessment Sheet'!D85,"")</f>
        <v>0.18</v>
      </c>
      <c r="E51" s="588" t="str">
        <f>IF('Assessment Sheet'!B85&lt;&gt;"",'Assessment Sheet'!I85,"")</f>
        <v/>
      </c>
      <c r="F51" s="588">
        <f>IF('Assessment Sheet'!J85&lt;&gt;"",'Assessment Sheet'!J85,"")</f>
        <v>0</v>
      </c>
      <c r="G51" s="419" t="str">
        <f>IF(E51&lt;&gt;"",('Processing Sheet'!#REF!-'Processing Sheet'!#REF!),"")</f>
        <v/>
      </c>
      <c r="H51" s="419" t="str">
        <f t="shared" si="0"/>
        <v/>
      </c>
    </row>
    <row r="52" spans="1:8">
      <c r="A52" s="448">
        <v>6</v>
      </c>
      <c r="B52" s="456" t="str">
        <f>IF('Assessment Sheet'!B86&lt;&gt;"",'Assessment Sheet'!B86,"")</f>
        <v/>
      </c>
      <c r="C52" s="456" t="str">
        <f>IF('Assessment Sheet'!C86&lt;&gt;"",'Assessment Sheet'!C86,"")</f>
        <v>PLASTIC</v>
      </c>
      <c r="D52" s="587">
        <f>IF('Assessment Sheet'!C86&lt;&gt;"",'Assessment Sheet'!D86,"")</f>
        <v>0.18</v>
      </c>
      <c r="E52" s="588" t="str">
        <f>IF('Assessment Sheet'!B86&lt;&gt;"",'Assessment Sheet'!I86,"")</f>
        <v/>
      </c>
      <c r="F52" s="588">
        <f>IF('Assessment Sheet'!J86&lt;&gt;"",'Assessment Sheet'!J86,"")</f>
        <v>0</v>
      </c>
      <c r="G52" s="419" t="str">
        <f>IF(E52&lt;&gt;"",('Processing Sheet'!#REF!-'Processing Sheet'!#REF!),"")</f>
        <v/>
      </c>
      <c r="H52" s="419" t="str">
        <f t="shared" si="0"/>
        <v/>
      </c>
    </row>
    <row r="53" spans="1:8">
      <c r="A53" s="448">
        <v>7</v>
      </c>
      <c r="B53" s="456" t="str">
        <f>IF('Assessment Sheet'!B87&lt;&gt;"",'Assessment Sheet'!B87,"")</f>
        <v/>
      </c>
      <c r="C53" s="456" t="str">
        <f>IF('Assessment Sheet'!C87&lt;&gt;"",'Assessment Sheet'!C87,"")</f>
        <v/>
      </c>
      <c r="D53" s="587" t="str">
        <f>IF('Assessment Sheet'!C87&lt;&gt;"",'Assessment Sheet'!D87,"")</f>
        <v/>
      </c>
      <c r="E53" s="588" t="str">
        <f>IF('Assessment Sheet'!B87&lt;&gt;"",'Assessment Sheet'!I87,"")</f>
        <v/>
      </c>
      <c r="F53" s="588">
        <f>IF('Assessment Sheet'!J87&lt;&gt;"",'Assessment Sheet'!J87,"")</f>
        <v>0</v>
      </c>
      <c r="G53" s="419" t="str">
        <f>IF(E53&lt;&gt;"",('Processing Sheet'!#REF!-'Processing Sheet'!#REF!),"")</f>
        <v/>
      </c>
      <c r="H53" s="419" t="str">
        <f t="shared" si="0"/>
        <v/>
      </c>
    </row>
    <row r="54" spans="1:8">
      <c r="A54" s="448">
        <v>8</v>
      </c>
      <c r="B54" s="456" t="str">
        <f>IF('Assessment Sheet'!B88&lt;&gt;"",'Assessment Sheet'!B88,"")</f>
        <v/>
      </c>
      <c r="C54" s="456" t="str">
        <f>IF('Assessment Sheet'!C88&lt;&gt;"",'Assessment Sheet'!C88,"")</f>
        <v/>
      </c>
      <c r="D54" s="587" t="str">
        <f>IF('Assessment Sheet'!C88&lt;&gt;"",'Assessment Sheet'!D88,"")</f>
        <v/>
      </c>
      <c r="E54" s="588" t="str">
        <f>IF('Assessment Sheet'!B88&lt;&gt;"",'Assessment Sheet'!I88,"")</f>
        <v/>
      </c>
      <c r="F54" s="588">
        <f>IF('Assessment Sheet'!J88&lt;&gt;"",'Assessment Sheet'!J88,"")</f>
        <v>0</v>
      </c>
      <c r="G54" s="419" t="str">
        <f>IF(E54&lt;&gt;"",('Processing Sheet'!#REF!-'Processing Sheet'!#REF!),"")</f>
        <v/>
      </c>
      <c r="H54" s="419" t="str">
        <f t="shared" si="0"/>
        <v/>
      </c>
    </row>
    <row r="55" spans="1:8">
      <c r="A55" s="448">
        <v>9</v>
      </c>
      <c r="B55" s="456" t="str">
        <f>IF('Assessment Sheet'!B89&lt;&gt;"",'Assessment Sheet'!B89,"")</f>
        <v/>
      </c>
      <c r="C55" s="456" t="str">
        <f>IF('Assessment Sheet'!C89&lt;&gt;"",'Assessment Sheet'!C89,"")</f>
        <v/>
      </c>
      <c r="D55" s="587" t="str">
        <f>IF('Assessment Sheet'!C89&lt;&gt;"",'Assessment Sheet'!D89,"")</f>
        <v/>
      </c>
      <c r="E55" s="588" t="str">
        <f>IF('Assessment Sheet'!B89&lt;&gt;"",'Assessment Sheet'!I89,"")</f>
        <v/>
      </c>
      <c r="F55" s="588">
        <f>IF('Assessment Sheet'!J89&lt;&gt;"",'Assessment Sheet'!J89,"")</f>
        <v>0</v>
      </c>
      <c r="G55" s="419" t="str">
        <f>IF(E55&lt;&gt;"",('Processing Sheet'!#REF!-'Processing Sheet'!#REF!),"")</f>
        <v/>
      </c>
      <c r="H55" s="419" t="str">
        <f t="shared" si="0"/>
        <v/>
      </c>
    </row>
    <row r="56" spans="1:8">
      <c r="A56" s="448">
        <v>10</v>
      </c>
      <c r="B56" s="456" t="str">
        <f>IF('Assessment Sheet'!B90&lt;&gt;"",'Assessment Sheet'!B90,"")</f>
        <v/>
      </c>
      <c r="C56" s="456" t="str">
        <f>IF('Assessment Sheet'!C90&lt;&gt;"",'Assessment Sheet'!C90,"")</f>
        <v/>
      </c>
      <c r="D56" s="587" t="str">
        <f>IF('Assessment Sheet'!C90&lt;&gt;"",'Assessment Sheet'!D90,"")</f>
        <v/>
      </c>
      <c r="E56" s="588" t="str">
        <f>IF('Assessment Sheet'!B90&lt;&gt;"",'Assessment Sheet'!I90,"")</f>
        <v/>
      </c>
      <c r="F56" s="588">
        <f>IF('Assessment Sheet'!J90&lt;&gt;"",'Assessment Sheet'!J90,"")</f>
        <v>0</v>
      </c>
      <c r="G56" s="419" t="str">
        <f>IF(E56&lt;&gt;"",('Processing Sheet'!#REF!-'Processing Sheet'!#REF!),"")</f>
        <v/>
      </c>
      <c r="H56" s="419" t="str">
        <f t="shared" si="0"/>
        <v/>
      </c>
    </row>
    <row r="57" spans="1:8">
      <c r="A57" s="448">
        <v>11</v>
      </c>
      <c r="B57" s="456" t="str">
        <f>IF('Assessment Sheet'!B91&lt;&gt;"",'Assessment Sheet'!B91,"")</f>
        <v/>
      </c>
      <c r="C57" s="456" t="str">
        <f>IF('Assessment Sheet'!C91&lt;&gt;"",'Assessment Sheet'!C91,"")</f>
        <v/>
      </c>
      <c r="D57" s="587" t="str">
        <f>IF('Assessment Sheet'!C91&lt;&gt;"",'Assessment Sheet'!D91,"")</f>
        <v/>
      </c>
      <c r="E57" s="588" t="str">
        <f>IF('Assessment Sheet'!B91&lt;&gt;"",'Assessment Sheet'!I91,"")</f>
        <v/>
      </c>
      <c r="F57" s="588">
        <f>IF('Assessment Sheet'!J91&lt;&gt;"",'Assessment Sheet'!J91,"")</f>
        <v>0</v>
      </c>
      <c r="G57" s="419" t="str">
        <f>IF(E57&lt;&gt;"",('Processing Sheet'!#REF!-'Processing Sheet'!#REF!),"")</f>
        <v/>
      </c>
      <c r="H57" s="419" t="str">
        <f t="shared" si="0"/>
        <v/>
      </c>
    </row>
    <row r="58" spans="1:8">
      <c r="A58" s="448">
        <v>12</v>
      </c>
      <c r="B58" s="456" t="str">
        <f>IF('Assessment Sheet'!B92&lt;&gt;"",'Assessment Sheet'!B92,"")</f>
        <v/>
      </c>
      <c r="C58" s="456" t="str">
        <f>IF('Assessment Sheet'!C92&lt;&gt;"",'Assessment Sheet'!C92,"")</f>
        <v/>
      </c>
      <c r="D58" s="587" t="str">
        <f>IF('Assessment Sheet'!C92&lt;&gt;"",'Assessment Sheet'!D92,"")</f>
        <v/>
      </c>
      <c r="E58" s="588" t="str">
        <f>IF('Assessment Sheet'!B92&lt;&gt;"",'Assessment Sheet'!I92,"")</f>
        <v/>
      </c>
      <c r="F58" s="588">
        <f>IF('Assessment Sheet'!J92&lt;&gt;"",'Assessment Sheet'!J92,"")</f>
        <v>0</v>
      </c>
      <c r="G58" s="419" t="str">
        <f>IF(E58&lt;&gt;"",('Processing Sheet'!#REF!-'Processing Sheet'!#REF!),"")</f>
        <v/>
      </c>
      <c r="H58" s="419" t="str">
        <f t="shared" si="0"/>
        <v/>
      </c>
    </row>
    <row r="59" spans="1:8">
      <c r="A59" s="448">
        <v>13</v>
      </c>
      <c r="B59" s="456" t="str">
        <f>IF('Assessment Sheet'!B93&lt;&gt;"",'Assessment Sheet'!B93,"")</f>
        <v/>
      </c>
      <c r="C59" s="456" t="str">
        <f>IF('Assessment Sheet'!C93&lt;&gt;"",'Assessment Sheet'!C93,"")</f>
        <v/>
      </c>
      <c r="D59" s="587" t="str">
        <f>IF('Assessment Sheet'!C93&lt;&gt;"",'Assessment Sheet'!D93,"")</f>
        <v/>
      </c>
      <c r="E59" s="588" t="str">
        <f>IF('Assessment Sheet'!B93&lt;&gt;"",'Assessment Sheet'!I93,"")</f>
        <v/>
      </c>
      <c r="F59" s="588">
        <f>IF('Assessment Sheet'!J93&lt;&gt;"",'Assessment Sheet'!J93,"")</f>
        <v>0</v>
      </c>
      <c r="G59" s="419" t="str">
        <f>IF(E59&lt;&gt;"",('Processing Sheet'!#REF!-'Processing Sheet'!#REF!),"")</f>
        <v/>
      </c>
      <c r="H59" s="419" t="str">
        <f t="shared" si="0"/>
        <v/>
      </c>
    </row>
    <row r="60" spans="1:8">
      <c r="A60" s="448">
        <v>14</v>
      </c>
      <c r="B60" s="456" t="str">
        <f>IF('Assessment Sheet'!B94&lt;&gt;"",'Assessment Sheet'!B94,"")</f>
        <v/>
      </c>
      <c r="C60" s="456" t="str">
        <f>IF('Assessment Sheet'!C94&lt;&gt;"",'Assessment Sheet'!C94,"")</f>
        <v/>
      </c>
      <c r="D60" s="587" t="str">
        <f>IF('Assessment Sheet'!C94&lt;&gt;"",'Assessment Sheet'!D94,"")</f>
        <v/>
      </c>
      <c r="E60" s="588" t="str">
        <f>IF('Assessment Sheet'!B94&lt;&gt;"",'Assessment Sheet'!I94,"")</f>
        <v/>
      </c>
      <c r="F60" s="588">
        <f>IF('Assessment Sheet'!J94&lt;&gt;"",'Assessment Sheet'!J94,"")</f>
        <v>0</v>
      </c>
      <c r="G60" s="419" t="str">
        <f>IF(E60&lt;&gt;"",('Processing Sheet'!#REF!-'Processing Sheet'!#REF!),"")</f>
        <v/>
      </c>
      <c r="H60" s="419" t="str">
        <f t="shared" si="0"/>
        <v/>
      </c>
    </row>
    <row r="61" spans="1:8">
      <c r="A61" s="448">
        <v>15</v>
      </c>
      <c r="B61" s="456" t="str">
        <f>IF('Assessment Sheet'!B95&lt;&gt;"",'Assessment Sheet'!B95,"")</f>
        <v/>
      </c>
      <c r="C61" s="456" t="str">
        <f>IF('Assessment Sheet'!C95&lt;&gt;"",'Assessment Sheet'!C95,"")</f>
        <v/>
      </c>
      <c r="D61" s="587" t="str">
        <f>IF('Assessment Sheet'!C95&lt;&gt;"",'Assessment Sheet'!D95,"")</f>
        <v/>
      </c>
      <c r="E61" s="588" t="str">
        <f>IF('Assessment Sheet'!B95&lt;&gt;"",'Assessment Sheet'!I95,"")</f>
        <v/>
      </c>
      <c r="F61" s="588">
        <f>IF('Assessment Sheet'!J95&lt;&gt;"",'Assessment Sheet'!J95,"")</f>
        <v>0</v>
      </c>
      <c r="G61" s="419" t="str">
        <f>IF(E61&lt;&gt;"",('Processing Sheet'!#REF!-'Processing Sheet'!#REF!),"")</f>
        <v/>
      </c>
      <c r="H61" s="419" t="str">
        <f t="shared" si="0"/>
        <v/>
      </c>
    </row>
    <row r="62" spans="1:8">
      <c r="A62" s="448">
        <v>16</v>
      </c>
      <c r="B62" s="456" t="str">
        <f>IF('Assessment Sheet'!B96&lt;&gt;"",'Assessment Sheet'!B96,"")</f>
        <v/>
      </c>
      <c r="C62" s="456" t="str">
        <f>IF('Assessment Sheet'!C96&lt;&gt;"",'Assessment Sheet'!C96,"")</f>
        <v/>
      </c>
      <c r="D62" s="587" t="str">
        <f>IF('Assessment Sheet'!C96&lt;&gt;"",'Assessment Sheet'!D96,"")</f>
        <v/>
      </c>
      <c r="E62" s="588" t="str">
        <f>IF('Assessment Sheet'!B96&lt;&gt;"",'Assessment Sheet'!I96,"")</f>
        <v/>
      </c>
      <c r="F62" s="588">
        <f>IF('Assessment Sheet'!J96&lt;&gt;"",'Assessment Sheet'!J96,"")</f>
        <v>0</v>
      </c>
      <c r="G62" s="419" t="str">
        <f>IF(E62&lt;&gt;"",('Processing Sheet'!#REF!-'Processing Sheet'!#REF!),"")</f>
        <v/>
      </c>
      <c r="H62" s="419" t="str">
        <f t="shared" si="0"/>
        <v/>
      </c>
    </row>
    <row r="63" spans="1:8">
      <c r="A63" s="448">
        <v>17</v>
      </c>
      <c r="B63" s="456" t="str">
        <f>IF('Assessment Sheet'!B97&lt;&gt;"",'Assessment Sheet'!B97,"")</f>
        <v/>
      </c>
      <c r="C63" s="456" t="str">
        <f>IF('Assessment Sheet'!C97&lt;&gt;"",'Assessment Sheet'!C97,"")</f>
        <v/>
      </c>
      <c r="D63" s="587" t="str">
        <f>IF('Assessment Sheet'!C97&lt;&gt;"",'Assessment Sheet'!D97,"")</f>
        <v/>
      </c>
      <c r="E63" s="588" t="str">
        <f>IF('Assessment Sheet'!B97&lt;&gt;"",'Assessment Sheet'!I97,"")</f>
        <v/>
      </c>
      <c r="F63" s="588">
        <f>IF('Assessment Sheet'!J97&lt;&gt;"",'Assessment Sheet'!J97,"")</f>
        <v>0</v>
      </c>
      <c r="G63" s="419" t="str">
        <f>IF(E63&lt;&gt;"",('Processing Sheet'!#REF!-'Processing Sheet'!#REF!),"")</f>
        <v/>
      </c>
      <c r="H63" s="419" t="str">
        <f t="shared" si="0"/>
        <v/>
      </c>
    </row>
    <row r="64" spans="1:8">
      <c r="A64" s="448">
        <v>18</v>
      </c>
      <c r="B64" s="456" t="str">
        <f>IF('Assessment Sheet'!B98&lt;&gt;"",'Assessment Sheet'!B98,"")</f>
        <v/>
      </c>
      <c r="C64" s="456" t="str">
        <f>IF('Assessment Sheet'!C98&lt;&gt;"",'Assessment Sheet'!C98,"")</f>
        <v/>
      </c>
      <c r="D64" s="587" t="str">
        <f>IF('Assessment Sheet'!C98&lt;&gt;"",'Assessment Sheet'!D98,"")</f>
        <v/>
      </c>
      <c r="E64" s="588" t="str">
        <f>IF('Assessment Sheet'!B98&lt;&gt;"",'Assessment Sheet'!I98,"")</f>
        <v/>
      </c>
      <c r="F64" s="588">
        <f>IF('Assessment Sheet'!J98&lt;&gt;"",'Assessment Sheet'!J98,"")</f>
        <v>0</v>
      </c>
      <c r="G64" s="419" t="str">
        <f>IF(E64&lt;&gt;"",('Processing Sheet'!#REF!-'Processing Sheet'!#REF!),"")</f>
        <v/>
      </c>
      <c r="H64" s="419" t="str">
        <f t="shared" si="0"/>
        <v/>
      </c>
    </row>
    <row r="65" spans="1:8">
      <c r="A65" s="448">
        <v>19</v>
      </c>
      <c r="B65" s="456" t="str">
        <f>IF('Assessment Sheet'!B99&lt;&gt;"",'Assessment Sheet'!B99,"")</f>
        <v/>
      </c>
      <c r="C65" s="456" t="str">
        <f>IF('Assessment Sheet'!C99&lt;&gt;"",'Assessment Sheet'!C99,"")</f>
        <v>PLASTIC</v>
      </c>
      <c r="D65" s="587">
        <f>IF('Assessment Sheet'!C99&lt;&gt;"",'Assessment Sheet'!D99,"")</f>
        <v>0.28000000000000003</v>
      </c>
      <c r="E65" s="588" t="str">
        <f>IF('Assessment Sheet'!B99&lt;&gt;"",'Assessment Sheet'!I99,"")</f>
        <v/>
      </c>
      <c r="F65" s="588">
        <f>IF('Assessment Sheet'!J99&lt;&gt;"",'Assessment Sheet'!J99,"")</f>
        <v>0</v>
      </c>
      <c r="G65" s="419" t="str">
        <f>IF(E65&lt;&gt;"",('Processing Sheet'!#REF!-'Processing Sheet'!#REF!),"")</f>
        <v/>
      </c>
      <c r="H65" s="419" t="str">
        <f t="shared" si="0"/>
        <v/>
      </c>
    </row>
    <row r="66" spans="1:8">
      <c r="A66" s="448">
        <v>20</v>
      </c>
      <c r="B66" s="456" t="str">
        <f>IF('Assessment Sheet'!B100&lt;&gt;"",'Assessment Sheet'!B100,"")</f>
        <v/>
      </c>
      <c r="C66" s="456" t="str">
        <f>IF('Assessment Sheet'!C100&lt;&gt;"",'Assessment Sheet'!C100,"")</f>
        <v>PLASTIC</v>
      </c>
      <c r="D66" s="587">
        <f>IF('Assessment Sheet'!C100&lt;&gt;"",'Assessment Sheet'!D100,"")</f>
        <v>0.28000000000000003</v>
      </c>
      <c r="E66" s="588" t="str">
        <f>IF('Assessment Sheet'!B100&lt;&gt;"",'Assessment Sheet'!I100,"")</f>
        <v/>
      </c>
      <c r="F66" s="588">
        <f>IF('Assessment Sheet'!J100&lt;&gt;"",'Assessment Sheet'!J100,"")</f>
        <v>0</v>
      </c>
      <c r="G66" s="419" t="str">
        <f>IF(E66&lt;&gt;"",('Processing Sheet'!#REF!-'Processing Sheet'!#REF!),"")</f>
        <v/>
      </c>
      <c r="H66" s="419" t="str">
        <f t="shared" si="0"/>
        <v/>
      </c>
    </row>
    <row r="67" spans="1:8">
      <c r="A67" s="448">
        <v>21</v>
      </c>
      <c r="B67" s="456" t="str">
        <f>IF('Assessment Sheet'!B101&lt;&gt;"",'Assessment Sheet'!B101,"")</f>
        <v/>
      </c>
      <c r="C67" s="456" t="str">
        <f>IF('Assessment Sheet'!C101&lt;&gt;"",'Assessment Sheet'!C101,"")</f>
        <v>PLASTIC</v>
      </c>
      <c r="D67" s="587">
        <f>IF('Assessment Sheet'!C101&lt;&gt;"",'Assessment Sheet'!D101,"")</f>
        <v>0.28000000000000003</v>
      </c>
      <c r="E67" s="588" t="str">
        <f>IF('Assessment Sheet'!B101&lt;&gt;"",'Assessment Sheet'!I101,"")</f>
        <v/>
      </c>
      <c r="F67" s="588">
        <f>IF('Assessment Sheet'!J101&lt;&gt;"",'Assessment Sheet'!J101,"")</f>
        <v>0</v>
      </c>
      <c r="G67" s="419" t="str">
        <f>IF(E67&lt;&gt;"",('Processing Sheet'!#REF!-'Processing Sheet'!#REF!),"")</f>
        <v/>
      </c>
      <c r="H67" s="419" t="str">
        <f t="shared" si="0"/>
        <v/>
      </c>
    </row>
    <row r="68" spans="1:8">
      <c r="A68" s="448">
        <v>22</v>
      </c>
      <c r="B68" s="456" t="str">
        <f>IF('Assessment Sheet'!B102&lt;&gt;"",'Assessment Sheet'!B102,"")</f>
        <v/>
      </c>
      <c r="C68" s="456" t="str">
        <f>IF('Assessment Sheet'!C102&lt;&gt;"",'Assessment Sheet'!C102,"")</f>
        <v>PLASTIC</v>
      </c>
      <c r="D68" s="587">
        <f>IF('Assessment Sheet'!C102&lt;&gt;"",'Assessment Sheet'!D102,"")</f>
        <v>0.28000000000000003</v>
      </c>
      <c r="E68" s="588" t="str">
        <f>IF('Assessment Sheet'!B102&lt;&gt;"",'Assessment Sheet'!I102,"")</f>
        <v/>
      </c>
      <c r="F68" s="588">
        <f>IF('Assessment Sheet'!J102&lt;&gt;"",'Assessment Sheet'!J102,"")</f>
        <v>0</v>
      </c>
      <c r="G68" s="419" t="str">
        <f>IF(E68&lt;&gt;"",('Processing Sheet'!#REF!-'Processing Sheet'!#REF!),"")</f>
        <v/>
      </c>
      <c r="H68" s="419" t="str">
        <f t="shared" si="0"/>
        <v/>
      </c>
    </row>
    <row r="69" spans="1:8">
      <c r="A69" s="448">
        <v>23</v>
      </c>
      <c r="B69" s="456" t="str">
        <f>IF('Assessment Sheet'!B103&lt;&gt;"",'Assessment Sheet'!B103,"")</f>
        <v/>
      </c>
      <c r="C69" s="456" t="str">
        <f>IF('Assessment Sheet'!C103&lt;&gt;"",'Assessment Sheet'!C103,"")</f>
        <v>PLASTIC</v>
      </c>
      <c r="D69" s="587">
        <f>IF('Assessment Sheet'!C103&lt;&gt;"",'Assessment Sheet'!D103,"")</f>
        <v>0.28000000000000003</v>
      </c>
      <c r="E69" s="588" t="str">
        <f>IF('Assessment Sheet'!B103&lt;&gt;"",'Assessment Sheet'!I103,"")</f>
        <v/>
      </c>
      <c r="F69" s="588">
        <f>IF('Assessment Sheet'!J103&lt;&gt;"",'Assessment Sheet'!J103,"")</f>
        <v>0</v>
      </c>
      <c r="G69" s="419" t="str">
        <f>IF(E69&lt;&gt;"",('Processing Sheet'!#REF!-'Processing Sheet'!#REF!),"")</f>
        <v/>
      </c>
      <c r="H69" s="419" t="str">
        <f t="shared" si="0"/>
        <v/>
      </c>
    </row>
    <row r="70" spans="1:8">
      <c r="A70" s="448">
        <v>24</v>
      </c>
      <c r="B70" s="456" t="str">
        <f>IF('Assessment Sheet'!B104&lt;&gt;"",'Assessment Sheet'!B104,"")</f>
        <v/>
      </c>
      <c r="C70" s="456" t="str">
        <f>IF('Assessment Sheet'!C104&lt;&gt;"",'Assessment Sheet'!C104,"")</f>
        <v>PLASTIC</v>
      </c>
      <c r="D70" s="587">
        <f>IF('Assessment Sheet'!C104&lt;&gt;"",'Assessment Sheet'!D104,"")</f>
        <v>0.28000000000000003</v>
      </c>
      <c r="E70" s="588" t="str">
        <f>IF('Assessment Sheet'!B104&lt;&gt;"",'Assessment Sheet'!I104,"")</f>
        <v/>
      </c>
      <c r="F70" s="588">
        <f>IF('Assessment Sheet'!J104&lt;&gt;"",'Assessment Sheet'!J104,"")</f>
        <v>0</v>
      </c>
      <c r="G70" s="419" t="str">
        <f>IF(E70&lt;&gt;"",('Processing Sheet'!#REF!-'Processing Sheet'!#REF!),"")</f>
        <v/>
      </c>
      <c r="H70" s="419" t="str">
        <f t="shared" si="0"/>
        <v/>
      </c>
    </row>
    <row r="71" spans="1:8">
      <c r="A71" s="448">
        <v>25</v>
      </c>
      <c r="B71" s="456" t="str">
        <f>IF('Assessment Sheet'!B105&lt;&gt;"",'Assessment Sheet'!B105,"")</f>
        <v/>
      </c>
      <c r="C71" s="456" t="str">
        <f>IF('Assessment Sheet'!C105&lt;&gt;"",'Assessment Sheet'!C105,"")</f>
        <v>PLASTIC</v>
      </c>
      <c r="D71" s="587">
        <f>IF('Assessment Sheet'!C105&lt;&gt;"",'Assessment Sheet'!D105,"")</f>
        <v>0.28000000000000003</v>
      </c>
      <c r="E71" s="588" t="str">
        <f>IF('Assessment Sheet'!B105&lt;&gt;"",'Assessment Sheet'!I105,"")</f>
        <v/>
      </c>
      <c r="F71" s="588">
        <f>IF('Assessment Sheet'!J105&lt;&gt;"",'Assessment Sheet'!J105,"")</f>
        <v>0</v>
      </c>
      <c r="G71" s="419" t="str">
        <f>IF(E71&lt;&gt;"",('Processing Sheet'!#REF!-'Processing Sheet'!#REF!),"")</f>
        <v/>
      </c>
      <c r="H71" s="419" t="str">
        <f t="shared" si="0"/>
        <v/>
      </c>
    </row>
    <row r="72" spans="1:8">
      <c r="A72" s="881" t="s">
        <v>23</v>
      </c>
      <c r="B72" s="881"/>
      <c r="C72" s="881"/>
      <c r="D72" s="881"/>
      <c r="E72" s="406">
        <f>SUM(E47:E71)</f>
        <v>0</v>
      </c>
      <c r="F72" s="406">
        <f>SUM(F47:F71)</f>
        <v>0</v>
      </c>
      <c r="G72" s="419">
        <f>SUM(G47:G71)</f>
        <v>0</v>
      </c>
      <c r="H72" s="419">
        <f>SUM(H47:H71)</f>
        <v>0</v>
      </c>
    </row>
    <row r="73" spans="1:8">
      <c r="G73" s="419"/>
      <c r="H73" s="419"/>
    </row>
    <row r="74" spans="1:8">
      <c r="G74" s="419"/>
      <c r="H74" s="419"/>
    </row>
    <row r="75" spans="1:8">
      <c r="G75" s="419"/>
      <c r="H75" s="419"/>
    </row>
    <row r="76" spans="1:8">
      <c r="A76" s="883" t="s">
        <v>59</v>
      </c>
      <c r="B76" s="884"/>
      <c r="C76" s="457"/>
      <c r="D76" s="457"/>
      <c r="E76" s="457"/>
      <c r="F76" s="418"/>
      <c r="G76" s="419"/>
      <c r="H76" s="419"/>
    </row>
    <row r="77" spans="1:8" ht="25.5">
      <c r="A77" s="458" t="s">
        <v>53</v>
      </c>
      <c r="B77" s="459" t="s">
        <v>278</v>
      </c>
      <c r="C77" s="415" t="s">
        <v>55</v>
      </c>
      <c r="D77" s="415" t="s">
        <v>640</v>
      </c>
      <c r="E77" s="415" t="s">
        <v>643</v>
      </c>
      <c r="F77" s="415" t="s">
        <v>638</v>
      </c>
      <c r="G77" s="419" t="s">
        <v>644</v>
      </c>
      <c r="H77" s="419" t="s">
        <v>638</v>
      </c>
    </row>
    <row r="78" spans="1:8">
      <c r="A78" s="460">
        <v>1</v>
      </c>
      <c r="B78" s="461" t="str">
        <f>IF('Assessment Sheet'!B11&lt;&gt;"",'Assessment Sheet'!B11,"")</f>
        <v/>
      </c>
      <c r="C78" s="462" t="str">
        <f>IF('Assessment Sheet'!D11&lt;&gt;"",'Assessment Sheet'!D11,"")</f>
        <v>R&amp;R</v>
      </c>
      <c r="D78" s="462">
        <f>IF('Assessment Sheet'!D11&lt;&gt;"",'Assessment Sheet'!E11*100,"")</f>
        <v>18</v>
      </c>
      <c r="E78" s="416" t="str">
        <f>IF('Assessment Sheet'!I11&lt;&gt;0,'Assessment Sheet'!I11,"")</f>
        <v/>
      </c>
      <c r="F78" s="416" t="str">
        <f>IF(E78&lt;&gt;"",E78*D78/100,"")</f>
        <v/>
      </c>
      <c r="G78" s="419" t="str">
        <f>IF(E78&lt;&gt;"",'Assessment Sheet'!G11-'Assessment Sheet'!I11,"")</f>
        <v/>
      </c>
      <c r="H78" s="419" t="str">
        <f>IF(G78&lt;&gt;"",G78*D78/100,"")</f>
        <v/>
      </c>
    </row>
    <row r="79" spans="1:8">
      <c r="A79" s="460">
        <v>2</v>
      </c>
      <c r="B79" s="461" t="str">
        <f>IF('Assessment Sheet'!B12&lt;&gt;"",'Assessment Sheet'!B12,"")</f>
        <v/>
      </c>
      <c r="C79" s="462" t="str">
        <f>IF('Assessment Sheet'!D12&lt;&gt;"",'Assessment Sheet'!D12,"")</f>
        <v>R&amp;R</v>
      </c>
      <c r="D79" s="462">
        <f>IF('Assessment Sheet'!D12&lt;&gt;"",'Assessment Sheet'!E12*100,"")</f>
        <v>18</v>
      </c>
      <c r="E79" s="416" t="str">
        <f>IF('Assessment Sheet'!I12&lt;&gt;0,'Assessment Sheet'!I12,"")</f>
        <v/>
      </c>
      <c r="F79" s="416" t="str">
        <f t="shared" ref="F79:F102" si="1">IF(E79&lt;&gt;"",E79*D79/100,"")</f>
        <v/>
      </c>
      <c r="G79" s="419" t="str">
        <f>IF(E79&lt;&gt;"",'Assessment Sheet'!G12-'Assessment Sheet'!I12,"")</f>
        <v/>
      </c>
      <c r="H79" s="419" t="str">
        <f t="shared" ref="H79:H102" si="2">IF(G79&lt;&gt;"",G79*D79/100,"")</f>
        <v/>
      </c>
    </row>
    <row r="80" spans="1:8">
      <c r="A80" s="460">
        <v>3</v>
      </c>
      <c r="B80" s="461" t="str">
        <f>IF('Assessment Sheet'!B13&lt;&gt;"",'Assessment Sheet'!B13,"")</f>
        <v/>
      </c>
      <c r="C80" s="462" t="str">
        <f>IF('Assessment Sheet'!D13&lt;&gt;"",'Assessment Sheet'!D13,"")</f>
        <v>Repair/Dent</v>
      </c>
      <c r="D80" s="462">
        <f>IF('Assessment Sheet'!D13&lt;&gt;"",'Assessment Sheet'!E13*100,"")</f>
        <v>18</v>
      </c>
      <c r="E80" s="416" t="str">
        <f>IF('Assessment Sheet'!I13&lt;&gt;0,'Assessment Sheet'!I13,"")</f>
        <v/>
      </c>
      <c r="F80" s="416" t="str">
        <f t="shared" si="1"/>
        <v/>
      </c>
      <c r="G80" s="419" t="str">
        <f>IF(E80&lt;&gt;"",'Assessment Sheet'!G13-'Assessment Sheet'!I13,"")</f>
        <v/>
      </c>
      <c r="H80" s="419" t="str">
        <f t="shared" si="2"/>
        <v/>
      </c>
    </row>
    <row r="81" spans="1:8">
      <c r="A81" s="460">
        <v>4</v>
      </c>
      <c r="B81" s="461" t="str">
        <f>IF('Assessment Sheet'!B14&lt;&gt;"",'Assessment Sheet'!B14,"")</f>
        <v/>
      </c>
      <c r="C81" s="462" t="str">
        <f>IF('Assessment Sheet'!D14&lt;&gt;"",'Assessment Sheet'!D14,"")</f>
        <v/>
      </c>
      <c r="D81" s="462" t="str">
        <f>IF('Assessment Sheet'!D14&lt;&gt;"",'Assessment Sheet'!E14*100,"")</f>
        <v/>
      </c>
      <c r="E81" s="416" t="str">
        <f>IF('Assessment Sheet'!I14&lt;&gt;0,'Assessment Sheet'!I14,"")</f>
        <v/>
      </c>
      <c r="F81" s="416" t="str">
        <f t="shared" si="1"/>
        <v/>
      </c>
      <c r="G81" s="419" t="str">
        <f>IF(E81&lt;&gt;"",'Assessment Sheet'!G14-'Assessment Sheet'!I14,"")</f>
        <v/>
      </c>
      <c r="H81" s="419" t="str">
        <f t="shared" si="2"/>
        <v/>
      </c>
    </row>
    <row r="82" spans="1:8">
      <c r="A82" s="460">
        <v>5</v>
      </c>
      <c r="B82" s="461" t="str">
        <f>IF('Assessment Sheet'!B15&lt;&gt;"",'Assessment Sheet'!B15,"")</f>
        <v/>
      </c>
      <c r="C82" s="462" t="str">
        <f>IF('Assessment Sheet'!D15&lt;&gt;"",'Assessment Sheet'!D15,"")</f>
        <v/>
      </c>
      <c r="D82" s="462" t="str">
        <f>IF('Assessment Sheet'!D15&lt;&gt;"",'Assessment Sheet'!E15*100,"")</f>
        <v/>
      </c>
      <c r="E82" s="416" t="str">
        <f>IF('Assessment Sheet'!I15&lt;&gt;0,'Assessment Sheet'!I15,"")</f>
        <v/>
      </c>
      <c r="F82" s="416" t="str">
        <f t="shared" si="1"/>
        <v/>
      </c>
      <c r="G82" s="419" t="str">
        <f>IF(E82&lt;&gt;"",'Assessment Sheet'!G15-'Assessment Sheet'!I15,"")</f>
        <v/>
      </c>
      <c r="H82" s="419" t="str">
        <f t="shared" si="2"/>
        <v/>
      </c>
    </row>
    <row r="83" spans="1:8">
      <c r="A83" s="460">
        <v>6</v>
      </c>
      <c r="B83" s="461" t="str">
        <f>IF('Assessment Sheet'!B16&lt;&gt;"",'Assessment Sheet'!B16,"")</f>
        <v/>
      </c>
      <c r="C83" s="462" t="str">
        <f>IF('Assessment Sheet'!D16&lt;&gt;"",'Assessment Sheet'!D16,"")</f>
        <v/>
      </c>
      <c r="D83" s="462" t="str">
        <f>IF('Assessment Sheet'!D16&lt;&gt;"",'Assessment Sheet'!E16*100,"")</f>
        <v/>
      </c>
      <c r="E83" s="416" t="str">
        <f>IF('Assessment Sheet'!I16&lt;&gt;0,'Assessment Sheet'!I16,"")</f>
        <v/>
      </c>
      <c r="F83" s="416" t="str">
        <f t="shared" si="1"/>
        <v/>
      </c>
      <c r="G83" s="419" t="str">
        <f>IF(E83&lt;&gt;"",'Assessment Sheet'!G16-'Assessment Sheet'!I16,"")</f>
        <v/>
      </c>
      <c r="H83" s="419" t="str">
        <f t="shared" si="2"/>
        <v/>
      </c>
    </row>
    <row r="84" spans="1:8">
      <c r="A84" s="460">
        <v>7</v>
      </c>
      <c r="B84" s="461" t="str">
        <f>IF('Assessment Sheet'!B17&lt;&gt;"",'Assessment Sheet'!B17,"")</f>
        <v/>
      </c>
      <c r="C84" s="462" t="str">
        <f>IF('Assessment Sheet'!D17&lt;&gt;"",'Assessment Sheet'!D17,"")</f>
        <v/>
      </c>
      <c r="D84" s="462" t="str">
        <f>IF('Assessment Sheet'!D17&lt;&gt;"",'Assessment Sheet'!E17*100,"")</f>
        <v/>
      </c>
      <c r="E84" s="416" t="str">
        <f>IF('Assessment Sheet'!I17&lt;&gt;0,'Assessment Sheet'!I17,"")</f>
        <v/>
      </c>
      <c r="F84" s="416" t="str">
        <f t="shared" si="1"/>
        <v/>
      </c>
      <c r="G84" s="419" t="str">
        <f>IF(E84&lt;&gt;"",'Assessment Sheet'!G17-'Assessment Sheet'!I17,"")</f>
        <v/>
      </c>
      <c r="H84" s="419" t="str">
        <f t="shared" si="2"/>
        <v/>
      </c>
    </row>
    <row r="85" spans="1:8">
      <c r="A85" s="460">
        <v>8</v>
      </c>
      <c r="B85" s="461" t="str">
        <f>IF('Assessment Sheet'!B18&lt;&gt;"",'Assessment Sheet'!B18,"")</f>
        <v/>
      </c>
      <c r="C85" s="462" t="str">
        <f>IF('Assessment Sheet'!D18&lt;&gt;"",'Assessment Sheet'!D18,"")</f>
        <v/>
      </c>
      <c r="D85" s="462" t="str">
        <f>IF('Assessment Sheet'!D18&lt;&gt;"",'Assessment Sheet'!E18*100,"")</f>
        <v/>
      </c>
      <c r="E85" s="416" t="str">
        <f>IF('Assessment Sheet'!I18&lt;&gt;0,'Assessment Sheet'!I18,"")</f>
        <v/>
      </c>
      <c r="F85" s="416" t="str">
        <f t="shared" si="1"/>
        <v/>
      </c>
      <c r="G85" s="419" t="str">
        <f>IF(E85&lt;&gt;"",'Assessment Sheet'!G18-'Assessment Sheet'!I18,"")</f>
        <v/>
      </c>
      <c r="H85" s="419" t="str">
        <f t="shared" si="2"/>
        <v/>
      </c>
    </row>
    <row r="86" spans="1:8">
      <c r="A86" s="460">
        <v>9</v>
      </c>
      <c r="B86" s="461" t="str">
        <f>IF('Assessment Sheet'!B19&lt;&gt;"",'Assessment Sheet'!B19,"")</f>
        <v/>
      </c>
      <c r="C86" s="462" t="str">
        <f>IF('Assessment Sheet'!D19&lt;&gt;"",'Assessment Sheet'!D19,"")</f>
        <v/>
      </c>
      <c r="D86" s="462" t="str">
        <f>IF('Assessment Sheet'!D19&lt;&gt;"",'Assessment Sheet'!E19*100,"")</f>
        <v/>
      </c>
      <c r="E86" s="416" t="str">
        <f>IF('Assessment Sheet'!I19&lt;&gt;0,'Assessment Sheet'!I19,"")</f>
        <v/>
      </c>
      <c r="F86" s="416" t="str">
        <f t="shared" si="1"/>
        <v/>
      </c>
      <c r="G86" s="419" t="str">
        <f>IF(E86&lt;&gt;"",'Assessment Sheet'!G19-'Assessment Sheet'!I19,"")</f>
        <v/>
      </c>
      <c r="H86" s="419" t="str">
        <f t="shared" si="2"/>
        <v/>
      </c>
    </row>
    <row r="87" spans="1:8">
      <c r="A87" s="460">
        <v>10</v>
      </c>
      <c r="B87" s="461" t="str">
        <f>IF('Assessment Sheet'!B20&lt;&gt;"",'Assessment Sheet'!B20,"")</f>
        <v/>
      </c>
      <c r="C87" s="462" t="str">
        <f>IF('Assessment Sheet'!D20&lt;&gt;"",'Assessment Sheet'!D20,"")</f>
        <v/>
      </c>
      <c r="D87" s="462" t="str">
        <f>IF('Assessment Sheet'!D20&lt;&gt;"",'Assessment Sheet'!E20*100,"")</f>
        <v/>
      </c>
      <c r="E87" s="416" t="str">
        <f>IF('Assessment Sheet'!I20&lt;&gt;0,'Assessment Sheet'!I20,"")</f>
        <v/>
      </c>
      <c r="F87" s="416" t="str">
        <f t="shared" si="1"/>
        <v/>
      </c>
      <c r="G87" s="419" t="str">
        <f>IF(E87&lt;&gt;"",'Assessment Sheet'!G20-'Assessment Sheet'!I20,"")</f>
        <v/>
      </c>
      <c r="H87" s="419" t="str">
        <f t="shared" si="2"/>
        <v/>
      </c>
    </row>
    <row r="88" spans="1:8">
      <c r="A88" s="460">
        <v>11</v>
      </c>
      <c r="B88" s="461" t="str">
        <f>IF('Assessment Sheet'!B21&lt;&gt;"",'Assessment Sheet'!B21,"")</f>
        <v/>
      </c>
      <c r="C88" s="462" t="str">
        <f>IF('Assessment Sheet'!D21&lt;&gt;"",'Assessment Sheet'!D21,"")</f>
        <v/>
      </c>
      <c r="D88" s="462" t="str">
        <f>IF('Assessment Sheet'!D21&lt;&gt;"",'Assessment Sheet'!E21*100,"")</f>
        <v/>
      </c>
      <c r="E88" s="416" t="str">
        <f>IF('Assessment Sheet'!I21&lt;&gt;0,'Assessment Sheet'!I21,"")</f>
        <v/>
      </c>
      <c r="F88" s="416" t="str">
        <f t="shared" si="1"/>
        <v/>
      </c>
      <c r="G88" s="419" t="str">
        <f>IF(E88&lt;&gt;"",'Assessment Sheet'!G21-'Assessment Sheet'!I21,"")</f>
        <v/>
      </c>
      <c r="H88" s="419" t="str">
        <f t="shared" si="2"/>
        <v/>
      </c>
    </row>
    <row r="89" spans="1:8">
      <c r="A89" s="460">
        <v>12</v>
      </c>
      <c r="B89" s="461" t="str">
        <f>IF('Assessment Sheet'!B22&lt;&gt;"",'Assessment Sheet'!B22,"")</f>
        <v/>
      </c>
      <c r="C89" s="462" t="str">
        <f>IF('Assessment Sheet'!D22&lt;&gt;"",'Assessment Sheet'!D22,"")</f>
        <v/>
      </c>
      <c r="D89" s="462" t="str">
        <f>IF('Assessment Sheet'!D22&lt;&gt;"",'Assessment Sheet'!E22*100,"")</f>
        <v/>
      </c>
      <c r="E89" s="416" t="str">
        <f>IF('Assessment Sheet'!I22&lt;&gt;0,'Assessment Sheet'!I22,"")</f>
        <v/>
      </c>
      <c r="F89" s="416" t="str">
        <f t="shared" si="1"/>
        <v/>
      </c>
      <c r="G89" s="419" t="str">
        <f>IF(E89&lt;&gt;"",'Assessment Sheet'!G22-'Assessment Sheet'!I22,"")</f>
        <v/>
      </c>
      <c r="H89" s="419" t="str">
        <f t="shared" si="2"/>
        <v/>
      </c>
    </row>
    <row r="90" spans="1:8">
      <c r="A90" s="460">
        <v>13</v>
      </c>
      <c r="B90" s="461" t="str">
        <f>IF('Assessment Sheet'!B23&lt;&gt;"",'Assessment Sheet'!B23,"")</f>
        <v/>
      </c>
      <c r="C90" s="462" t="str">
        <f>IF('Assessment Sheet'!D23&lt;&gt;"",'Assessment Sheet'!D23,"")</f>
        <v/>
      </c>
      <c r="D90" s="462" t="str">
        <f>IF('Assessment Sheet'!D23&lt;&gt;"",'Assessment Sheet'!E23*100,"")</f>
        <v/>
      </c>
      <c r="E90" s="416" t="str">
        <f>IF('Assessment Sheet'!I23&lt;&gt;0,'Assessment Sheet'!I23,"")</f>
        <v/>
      </c>
      <c r="F90" s="416" t="str">
        <f t="shared" si="1"/>
        <v/>
      </c>
      <c r="G90" s="419" t="str">
        <f>IF(E90&lt;&gt;"",'Assessment Sheet'!G23-'Assessment Sheet'!I23,"")</f>
        <v/>
      </c>
      <c r="H90" s="419" t="str">
        <f t="shared" si="2"/>
        <v/>
      </c>
    </row>
    <row r="91" spans="1:8">
      <c r="A91" s="460">
        <v>14</v>
      </c>
      <c r="B91" s="461" t="str">
        <f>IF('Assessment Sheet'!B24&lt;&gt;"",'Assessment Sheet'!B24,"")</f>
        <v/>
      </c>
      <c r="C91" s="462" t="str">
        <f>IF('Assessment Sheet'!D24&lt;&gt;"",'Assessment Sheet'!D24,"")</f>
        <v/>
      </c>
      <c r="D91" s="462" t="str">
        <f>IF('Assessment Sheet'!D24&lt;&gt;"",'Assessment Sheet'!E24*100,"")</f>
        <v/>
      </c>
      <c r="E91" s="416" t="str">
        <f>IF('Assessment Sheet'!I24&lt;&gt;0,'Assessment Sheet'!I24,"")</f>
        <v/>
      </c>
      <c r="F91" s="416" t="str">
        <f t="shared" si="1"/>
        <v/>
      </c>
      <c r="G91" s="419" t="str">
        <f>IF(E91&lt;&gt;"",'Assessment Sheet'!G24-'Assessment Sheet'!I24,"")</f>
        <v/>
      </c>
      <c r="H91" s="419" t="str">
        <f t="shared" si="2"/>
        <v/>
      </c>
    </row>
    <row r="92" spans="1:8">
      <c r="A92" s="460">
        <v>15</v>
      </c>
      <c r="B92" s="461" t="str">
        <f>IF('Assessment Sheet'!B25&lt;&gt;"",'Assessment Sheet'!B25,"")</f>
        <v/>
      </c>
      <c r="C92" s="462" t="str">
        <f>IF('Assessment Sheet'!D25&lt;&gt;"",'Assessment Sheet'!D25,"")</f>
        <v/>
      </c>
      <c r="D92" s="462" t="str">
        <f>IF('Assessment Sheet'!D25&lt;&gt;"",'Assessment Sheet'!E25*100,"")</f>
        <v/>
      </c>
      <c r="E92" s="416" t="str">
        <f>IF('Assessment Sheet'!I25&lt;&gt;0,'Assessment Sheet'!I25,"")</f>
        <v/>
      </c>
      <c r="F92" s="416" t="str">
        <f t="shared" si="1"/>
        <v/>
      </c>
      <c r="G92" s="419" t="str">
        <f>IF(E92&lt;&gt;"",'Assessment Sheet'!G25-'Assessment Sheet'!I25,"")</f>
        <v/>
      </c>
      <c r="H92" s="419" t="str">
        <f t="shared" si="2"/>
        <v/>
      </c>
    </row>
    <row r="93" spans="1:8">
      <c r="A93" s="460">
        <v>16</v>
      </c>
      <c r="B93" s="461" t="str">
        <f>IF('Assessment Sheet'!B26&lt;&gt;"",'Assessment Sheet'!B26,"")</f>
        <v/>
      </c>
      <c r="C93" s="462" t="str">
        <f>IF('Assessment Sheet'!D26&lt;&gt;"",'Assessment Sheet'!D26,"")</f>
        <v/>
      </c>
      <c r="D93" s="462" t="str">
        <f>IF('Assessment Sheet'!D26&lt;&gt;"",'Assessment Sheet'!E26*100,"")</f>
        <v/>
      </c>
      <c r="E93" s="416" t="str">
        <f>IF('Assessment Sheet'!I26&lt;&gt;0,'Assessment Sheet'!I26,"")</f>
        <v/>
      </c>
      <c r="F93" s="416" t="str">
        <f t="shared" si="1"/>
        <v/>
      </c>
      <c r="G93" s="419" t="str">
        <f>IF(E93&lt;&gt;"",'Assessment Sheet'!G26-'Assessment Sheet'!I26,"")</f>
        <v/>
      </c>
      <c r="H93" s="419" t="str">
        <f t="shared" si="2"/>
        <v/>
      </c>
    </row>
    <row r="94" spans="1:8">
      <c r="A94" s="460">
        <v>17</v>
      </c>
      <c r="B94" s="461" t="str">
        <f>IF('Assessment Sheet'!B27&lt;&gt;"",'Assessment Sheet'!B27,"")</f>
        <v/>
      </c>
      <c r="C94" s="462" t="str">
        <f>IF('Assessment Sheet'!D27&lt;&gt;"",'Assessment Sheet'!D27,"")</f>
        <v/>
      </c>
      <c r="D94" s="462" t="str">
        <f>IF('Assessment Sheet'!D27&lt;&gt;"",'Assessment Sheet'!E27*100,"")</f>
        <v/>
      </c>
      <c r="E94" s="416" t="str">
        <f>IF('Assessment Sheet'!I27&lt;&gt;0,'Assessment Sheet'!I27,"")</f>
        <v/>
      </c>
      <c r="F94" s="416" t="str">
        <f t="shared" si="1"/>
        <v/>
      </c>
      <c r="G94" s="419" t="str">
        <f>IF(E94&lt;&gt;"",'Assessment Sheet'!G27-'Assessment Sheet'!I27,"")</f>
        <v/>
      </c>
      <c r="H94" s="419" t="str">
        <f t="shared" si="2"/>
        <v/>
      </c>
    </row>
    <row r="95" spans="1:8">
      <c r="A95" s="460">
        <v>18</v>
      </c>
      <c r="B95" s="461" t="str">
        <f>IF('Assessment Sheet'!B28&lt;&gt;"",'Assessment Sheet'!B28,"")</f>
        <v/>
      </c>
      <c r="C95" s="462" t="str">
        <f>IF('Assessment Sheet'!D28&lt;&gt;"",'Assessment Sheet'!D28,"")</f>
        <v/>
      </c>
      <c r="D95" s="462" t="str">
        <f>IF('Assessment Sheet'!D28&lt;&gt;"",'Assessment Sheet'!E28*100,"")</f>
        <v/>
      </c>
      <c r="E95" s="416" t="str">
        <f>IF('Assessment Sheet'!I28&lt;&gt;0,'Assessment Sheet'!I28,"")</f>
        <v/>
      </c>
      <c r="F95" s="416" t="str">
        <f t="shared" si="1"/>
        <v/>
      </c>
      <c r="G95" s="419" t="str">
        <f>IF(E95&lt;&gt;"",'Assessment Sheet'!G28-'Assessment Sheet'!I28,"")</f>
        <v/>
      </c>
      <c r="H95" s="419" t="str">
        <f t="shared" si="2"/>
        <v/>
      </c>
    </row>
    <row r="96" spans="1:8">
      <c r="A96" s="460">
        <v>19</v>
      </c>
      <c r="B96" s="461" t="str">
        <f>IF('Assessment Sheet'!B29&lt;&gt;"",'Assessment Sheet'!B29,"")</f>
        <v/>
      </c>
      <c r="C96" s="462" t="str">
        <f>IF('Assessment Sheet'!D29&lt;&gt;"",'Assessment Sheet'!D29,"")</f>
        <v/>
      </c>
      <c r="D96" s="462" t="str">
        <f>IF('Assessment Sheet'!D29&lt;&gt;"",'Assessment Sheet'!E29*100,"")</f>
        <v/>
      </c>
      <c r="E96" s="416" t="str">
        <f>IF('Assessment Sheet'!I29&lt;&gt;0,'Assessment Sheet'!I29,"")</f>
        <v/>
      </c>
      <c r="F96" s="416" t="str">
        <f t="shared" si="1"/>
        <v/>
      </c>
      <c r="G96" s="419" t="str">
        <f>IF(E96&lt;&gt;"",'Assessment Sheet'!G29-'Assessment Sheet'!I29,"")</f>
        <v/>
      </c>
      <c r="H96" s="419" t="str">
        <f t="shared" si="2"/>
        <v/>
      </c>
    </row>
    <row r="97" spans="1:8">
      <c r="A97" s="460">
        <v>20</v>
      </c>
      <c r="B97" s="461" t="str">
        <f>IF('Assessment Sheet'!B30&lt;&gt;"",'Assessment Sheet'!B30,"")</f>
        <v/>
      </c>
      <c r="C97" s="462" t="str">
        <f>IF('Assessment Sheet'!D30&lt;&gt;"",'Assessment Sheet'!D30,"")</f>
        <v/>
      </c>
      <c r="D97" s="462" t="str">
        <f>IF('Assessment Sheet'!D30&lt;&gt;"",'Assessment Sheet'!E30*100,"")</f>
        <v/>
      </c>
      <c r="E97" s="416" t="str">
        <f>IF('Assessment Sheet'!I30&lt;&gt;0,'Assessment Sheet'!I30,"")</f>
        <v/>
      </c>
      <c r="F97" s="416" t="str">
        <f t="shared" si="1"/>
        <v/>
      </c>
      <c r="G97" s="419" t="str">
        <f>IF(E97&lt;&gt;"",'Assessment Sheet'!G30-'Assessment Sheet'!I30,"")</f>
        <v/>
      </c>
      <c r="H97" s="419" t="str">
        <f t="shared" si="2"/>
        <v/>
      </c>
    </row>
    <row r="98" spans="1:8">
      <c r="A98" s="460">
        <v>21</v>
      </c>
      <c r="B98" s="461" t="str">
        <f>IF('Assessment Sheet'!B31&lt;&gt;"",'Assessment Sheet'!B31,"")</f>
        <v/>
      </c>
      <c r="C98" s="462" t="str">
        <f>IF('Assessment Sheet'!D31&lt;&gt;"",'Assessment Sheet'!D31,"")</f>
        <v/>
      </c>
      <c r="D98" s="462" t="str">
        <f>IF('Assessment Sheet'!D31&lt;&gt;"",'Assessment Sheet'!E31*100,"")</f>
        <v/>
      </c>
      <c r="E98" s="416" t="str">
        <f>IF('Assessment Sheet'!I31&lt;&gt;0,'Assessment Sheet'!I31,"")</f>
        <v/>
      </c>
      <c r="F98" s="416" t="str">
        <f t="shared" si="1"/>
        <v/>
      </c>
      <c r="G98" s="419" t="str">
        <f>IF(E98&lt;&gt;"",'Assessment Sheet'!G31-'Assessment Sheet'!I31,"")</f>
        <v/>
      </c>
      <c r="H98" s="419" t="str">
        <f t="shared" si="2"/>
        <v/>
      </c>
    </row>
    <row r="99" spans="1:8">
      <c r="A99" s="460">
        <v>22</v>
      </c>
      <c r="B99" s="461" t="str">
        <f>IF('Assessment Sheet'!B32&lt;&gt;"",'Assessment Sheet'!B32,"")</f>
        <v/>
      </c>
      <c r="C99" s="462" t="str">
        <f>IF('Assessment Sheet'!D32&lt;&gt;"",'Assessment Sheet'!D32,"")</f>
        <v/>
      </c>
      <c r="D99" s="462" t="str">
        <f>IF('Assessment Sheet'!D32&lt;&gt;"",'Assessment Sheet'!E32*100,"")</f>
        <v/>
      </c>
      <c r="E99" s="416" t="str">
        <f>IF('Assessment Sheet'!I32&lt;&gt;0,'Assessment Sheet'!I32,"")</f>
        <v/>
      </c>
      <c r="F99" s="416" t="str">
        <f t="shared" si="1"/>
        <v/>
      </c>
      <c r="G99" s="419" t="str">
        <f>IF(E99&lt;&gt;"",'Assessment Sheet'!G32-'Assessment Sheet'!I32,"")</f>
        <v/>
      </c>
      <c r="H99" s="419" t="str">
        <f t="shared" si="2"/>
        <v/>
      </c>
    </row>
    <row r="100" spans="1:8">
      <c r="A100" s="460">
        <v>23</v>
      </c>
      <c r="B100" s="461" t="str">
        <f>IF('Assessment Sheet'!B33&lt;&gt;"",'Assessment Sheet'!B33,"")</f>
        <v/>
      </c>
      <c r="C100" s="462" t="str">
        <f>IF('Assessment Sheet'!D33&lt;&gt;"",'Assessment Sheet'!D33,"")</f>
        <v/>
      </c>
      <c r="D100" s="462" t="str">
        <f>IF('Assessment Sheet'!D33&lt;&gt;"",'Assessment Sheet'!E33*100,"")</f>
        <v/>
      </c>
      <c r="E100" s="416" t="str">
        <f>IF('Assessment Sheet'!I33&lt;&gt;0,'Assessment Sheet'!I33,"")</f>
        <v/>
      </c>
      <c r="F100" s="416" t="str">
        <f t="shared" si="1"/>
        <v/>
      </c>
      <c r="G100" s="419" t="str">
        <f>IF(E100&lt;&gt;"",'Assessment Sheet'!G33-'Assessment Sheet'!I33,"")</f>
        <v/>
      </c>
      <c r="H100" s="419" t="str">
        <f t="shared" si="2"/>
        <v/>
      </c>
    </row>
    <row r="101" spans="1:8">
      <c r="A101" s="460">
        <v>24</v>
      </c>
      <c r="B101" s="461" t="str">
        <f>IF('Assessment Sheet'!B34&lt;&gt;"",'Assessment Sheet'!B34,"")</f>
        <v/>
      </c>
      <c r="C101" s="462" t="str">
        <f>IF('Assessment Sheet'!D34&lt;&gt;"",'Assessment Sheet'!D34,"")</f>
        <v/>
      </c>
      <c r="D101" s="462" t="str">
        <f>IF('Assessment Sheet'!D34&lt;&gt;"",'Assessment Sheet'!E34*100,"")</f>
        <v/>
      </c>
      <c r="E101" s="416" t="str">
        <f>IF('Assessment Sheet'!I34&lt;&gt;0,'Assessment Sheet'!I34,"")</f>
        <v/>
      </c>
      <c r="F101" s="416" t="str">
        <f t="shared" si="1"/>
        <v/>
      </c>
      <c r="G101" s="419" t="str">
        <f>IF(E101&lt;&gt;"",'Assessment Sheet'!G34-'Assessment Sheet'!I34,"")</f>
        <v/>
      </c>
      <c r="H101" s="419" t="str">
        <f t="shared" si="2"/>
        <v/>
      </c>
    </row>
    <row r="102" spans="1:8">
      <c r="A102" s="460">
        <v>25</v>
      </c>
      <c r="B102" s="461" t="str">
        <f>IF('Assessment Sheet'!B35&lt;&gt;"",'Assessment Sheet'!B35,"")</f>
        <v/>
      </c>
      <c r="C102" s="462" t="str">
        <f>IF('Assessment Sheet'!D35&lt;&gt;"",'Assessment Sheet'!D35,"")</f>
        <v/>
      </c>
      <c r="D102" s="462" t="str">
        <f>IF('Assessment Sheet'!D35&lt;&gt;"",'Assessment Sheet'!E35*100,"")</f>
        <v/>
      </c>
      <c r="E102" s="416" t="str">
        <f>IF('Assessment Sheet'!I35&lt;&gt;0,'Assessment Sheet'!I35,"")</f>
        <v/>
      </c>
      <c r="F102" s="416" t="str">
        <f t="shared" si="1"/>
        <v/>
      </c>
      <c r="G102" s="419" t="str">
        <f>IF(E102&lt;&gt;"",'Assessment Sheet'!G35-'Assessment Sheet'!I35,"")</f>
        <v/>
      </c>
      <c r="H102" s="419" t="str">
        <f t="shared" si="2"/>
        <v/>
      </c>
    </row>
    <row r="103" spans="1:8">
      <c r="A103" s="881" t="s">
        <v>23</v>
      </c>
      <c r="B103" s="881"/>
      <c r="C103" s="881"/>
      <c r="D103" s="881"/>
      <c r="E103" s="406">
        <f>SUM(E78:E102)</f>
        <v>0</v>
      </c>
      <c r="F103" s="406">
        <f>SUM(F78:F102)</f>
        <v>0</v>
      </c>
      <c r="G103" s="419">
        <f>SUM(G78:G102)</f>
        <v>0</v>
      </c>
      <c r="H103" s="419">
        <f>SUM(H78:H102)</f>
        <v>0</v>
      </c>
    </row>
    <row r="104" spans="1:8">
      <c r="A104" s="407"/>
      <c r="B104" s="407"/>
      <c r="C104" s="407"/>
      <c r="D104" s="407"/>
      <c r="G104" s="419"/>
      <c r="H104" s="419"/>
    </row>
    <row r="105" spans="1:8" ht="15.75">
      <c r="A105" s="463" t="s">
        <v>57</v>
      </c>
      <c r="B105" s="464"/>
      <c r="C105" s="465"/>
      <c r="D105" s="466"/>
      <c r="E105" s="466"/>
      <c r="F105" s="418"/>
      <c r="G105" s="419"/>
      <c r="H105" s="419"/>
    </row>
    <row r="106" spans="1:8" ht="25.5">
      <c r="A106" s="467" t="s">
        <v>53</v>
      </c>
      <c r="B106" s="468" t="s">
        <v>54</v>
      </c>
      <c r="C106" s="469" t="s">
        <v>55</v>
      </c>
      <c r="D106" s="415" t="s">
        <v>640</v>
      </c>
      <c r="E106" s="415" t="s">
        <v>643</v>
      </c>
      <c r="F106" s="415" t="s">
        <v>638</v>
      </c>
      <c r="G106" s="419" t="s">
        <v>644</v>
      </c>
      <c r="H106" s="419" t="s">
        <v>638</v>
      </c>
    </row>
    <row r="107" spans="1:8">
      <c r="A107" s="470">
        <v>1</v>
      </c>
      <c r="B107" s="462" t="str">
        <f>IF('Assessment Sheet'!B45&lt;&gt;"",'Assessment Sheet'!B45,"")</f>
        <v/>
      </c>
      <c r="C107" s="451" t="str">
        <f>IF(B107&lt;&gt;"","Painting","")</f>
        <v/>
      </c>
      <c r="D107" s="462" t="str">
        <f>IF(B107&lt;&gt;"",'Assessment Sheet'!E45*100,"")</f>
        <v/>
      </c>
      <c r="E107" s="416" t="str">
        <f>IF('Assessment Sheet'!I45&lt;&gt;0,IF('Assessment Sheet'!$G$71="Yes",'Assessment Sheet'!I45*0.75,'Assessment Sheet'!I45),"")</f>
        <v/>
      </c>
      <c r="F107" s="416" t="str">
        <f>IF(E107&lt;&gt;"",E107*D107/100,"")</f>
        <v/>
      </c>
      <c r="G107" s="419" t="str">
        <f>IF(E107&lt;&gt;"",,"")</f>
        <v/>
      </c>
      <c r="H107" s="419" t="str">
        <f>IF(G107&lt;&gt;"",G107*D107/100,"")</f>
        <v/>
      </c>
    </row>
    <row r="108" spans="1:8">
      <c r="A108" s="470">
        <v>2</v>
      </c>
      <c r="B108" s="462" t="str">
        <f>IF('Assessment Sheet'!B46&lt;&gt;"",'Assessment Sheet'!B46,"")</f>
        <v/>
      </c>
      <c r="C108" s="451" t="str">
        <f t="shared" ref="C108:C121" si="3">IF(B108&lt;&gt;"","Painting","")</f>
        <v/>
      </c>
      <c r="D108" s="462" t="str">
        <f>IF(B108&lt;&gt;"",'Assessment Sheet'!E46*100,"")</f>
        <v/>
      </c>
      <c r="E108" s="416" t="str">
        <f>IF('Assessment Sheet'!I46&lt;&gt;0,IF('Assessment Sheet'!$G$71="Yes",'Assessment Sheet'!I46*0.75,'Assessment Sheet'!I46),"")</f>
        <v/>
      </c>
      <c r="F108" s="416" t="str">
        <f t="shared" ref="F108:F121" si="4">IF(E108&lt;&gt;"",E108*D108/100,"")</f>
        <v/>
      </c>
      <c r="G108" s="419" t="str">
        <f>IF(E108&lt;&gt;"",'Assessment Sheet'!G46-'Assessment Sheet'!I46,"")</f>
        <v/>
      </c>
      <c r="H108" s="419" t="str">
        <f t="shared" ref="H108:H121" si="5">IF(G108&lt;&gt;"",G108*D108/100,"")</f>
        <v/>
      </c>
    </row>
    <row r="109" spans="1:8">
      <c r="A109" s="470">
        <v>3</v>
      </c>
      <c r="B109" s="462" t="str">
        <f>IF('Assessment Sheet'!B47&lt;&gt;"",'Assessment Sheet'!B47,"")</f>
        <v/>
      </c>
      <c r="C109" s="451" t="str">
        <f t="shared" si="3"/>
        <v/>
      </c>
      <c r="D109" s="462" t="str">
        <f>IF(B109&lt;&gt;"",'Assessment Sheet'!E47*100,"")</f>
        <v/>
      </c>
      <c r="E109" s="416" t="str">
        <f>IF('Assessment Sheet'!I47&lt;&gt;0,IF('Assessment Sheet'!$G$71="Yes",'Assessment Sheet'!I47*0.75,'Assessment Sheet'!I47),"")</f>
        <v/>
      </c>
      <c r="F109" s="416" t="str">
        <f t="shared" si="4"/>
        <v/>
      </c>
      <c r="G109" s="419" t="str">
        <f>IF(E109&lt;&gt;"",'Assessment Sheet'!G47-'Assessment Sheet'!I47,"")</f>
        <v/>
      </c>
      <c r="H109" s="419" t="str">
        <f t="shared" si="5"/>
        <v/>
      </c>
    </row>
    <row r="110" spans="1:8">
      <c r="A110" s="470">
        <v>4</v>
      </c>
      <c r="B110" s="462" t="str">
        <f>IF('Assessment Sheet'!B48&lt;&gt;"",'Assessment Sheet'!B48,"")</f>
        <v/>
      </c>
      <c r="C110" s="451" t="str">
        <f t="shared" si="3"/>
        <v/>
      </c>
      <c r="D110" s="462" t="str">
        <f>IF(B110&lt;&gt;"",'Assessment Sheet'!E48*100,"")</f>
        <v/>
      </c>
      <c r="E110" s="416" t="str">
        <f>IF('Assessment Sheet'!I48&lt;&gt;0,IF('Assessment Sheet'!$G$71="Yes",'Assessment Sheet'!I48*0.75,'Assessment Sheet'!I48),"")</f>
        <v/>
      </c>
      <c r="F110" s="416" t="str">
        <f t="shared" si="4"/>
        <v/>
      </c>
      <c r="G110" s="419" t="str">
        <f>IF(E110&lt;&gt;"",'Assessment Sheet'!G48-'Assessment Sheet'!I48,"")</f>
        <v/>
      </c>
      <c r="H110" s="419" t="str">
        <f t="shared" si="5"/>
        <v/>
      </c>
    </row>
    <row r="111" spans="1:8">
      <c r="A111" s="470">
        <v>5</v>
      </c>
      <c r="B111" s="462" t="str">
        <f>IF('Assessment Sheet'!B49&lt;&gt;"",'Assessment Sheet'!B49,"")</f>
        <v/>
      </c>
      <c r="C111" s="451" t="str">
        <f t="shared" si="3"/>
        <v/>
      </c>
      <c r="D111" s="462" t="str">
        <f>IF(B111&lt;&gt;"",'Assessment Sheet'!E49*100,"")</f>
        <v/>
      </c>
      <c r="E111" s="416" t="str">
        <f>IF('Assessment Sheet'!I49&lt;&gt;0,IF('Assessment Sheet'!$G$71="Yes",'Assessment Sheet'!I49*0.75,'Assessment Sheet'!I49),"")</f>
        <v/>
      </c>
      <c r="F111" s="416" t="str">
        <f t="shared" si="4"/>
        <v/>
      </c>
      <c r="G111" s="419" t="str">
        <f>IF(E111&lt;&gt;"",'Assessment Sheet'!G49-'Assessment Sheet'!I49,"")</f>
        <v/>
      </c>
      <c r="H111" s="419" t="str">
        <f t="shared" si="5"/>
        <v/>
      </c>
    </row>
    <row r="112" spans="1:8">
      <c r="A112" s="470">
        <v>6</v>
      </c>
      <c r="B112" s="462" t="str">
        <f>IF('Assessment Sheet'!B50&lt;&gt;"",'Assessment Sheet'!B50,"")</f>
        <v/>
      </c>
      <c r="C112" s="451" t="str">
        <f t="shared" si="3"/>
        <v/>
      </c>
      <c r="D112" s="462" t="str">
        <f>IF(B112&lt;&gt;"",'Assessment Sheet'!E50*100,"")</f>
        <v/>
      </c>
      <c r="E112" s="416" t="str">
        <f>IF('Assessment Sheet'!I50&lt;&gt;0,IF('Assessment Sheet'!$G$71="Yes",'Assessment Sheet'!I50*0.75,'Assessment Sheet'!I50),"")</f>
        <v/>
      </c>
      <c r="F112" s="416" t="str">
        <f t="shared" si="4"/>
        <v/>
      </c>
      <c r="G112" s="419" t="str">
        <f>IF(E112&lt;&gt;"",'Assessment Sheet'!G50-'Assessment Sheet'!I50,"")</f>
        <v/>
      </c>
      <c r="H112" s="419" t="str">
        <f t="shared" si="5"/>
        <v/>
      </c>
    </row>
    <row r="113" spans="1:8">
      <c r="A113" s="470">
        <v>7</v>
      </c>
      <c r="B113" s="462" t="str">
        <f>IF('Assessment Sheet'!B51&lt;&gt;"",'Assessment Sheet'!B51,"")</f>
        <v/>
      </c>
      <c r="C113" s="451" t="str">
        <f t="shared" si="3"/>
        <v/>
      </c>
      <c r="D113" s="462" t="str">
        <f>IF(B113&lt;&gt;"",'Assessment Sheet'!E51*100,"")</f>
        <v/>
      </c>
      <c r="E113" s="416" t="str">
        <f>IF('Assessment Sheet'!I51&lt;&gt;0,IF('Assessment Sheet'!$G$71="Yes",'Assessment Sheet'!I51*0.75,'Assessment Sheet'!I51),"")</f>
        <v/>
      </c>
      <c r="F113" s="416" t="str">
        <f t="shared" si="4"/>
        <v/>
      </c>
      <c r="G113" s="419" t="str">
        <f>IF(E113&lt;&gt;"",'Assessment Sheet'!G51-'Assessment Sheet'!I51,"")</f>
        <v/>
      </c>
      <c r="H113" s="419" t="str">
        <f t="shared" si="5"/>
        <v/>
      </c>
    </row>
    <row r="114" spans="1:8">
      <c r="A114" s="470">
        <v>8</v>
      </c>
      <c r="B114" s="462" t="str">
        <f>IF('Assessment Sheet'!B52&lt;&gt;"",'Assessment Sheet'!B52,"")</f>
        <v/>
      </c>
      <c r="C114" s="451" t="str">
        <f t="shared" si="3"/>
        <v/>
      </c>
      <c r="D114" s="462" t="str">
        <f>IF(B114&lt;&gt;"",'Assessment Sheet'!E52*100,"")</f>
        <v/>
      </c>
      <c r="E114" s="416" t="str">
        <f>IF('Assessment Sheet'!I52&lt;&gt;0,IF('Assessment Sheet'!$G$71="Yes",'Assessment Sheet'!I52*0.75,'Assessment Sheet'!I52),"")</f>
        <v/>
      </c>
      <c r="F114" s="416" t="str">
        <f t="shared" si="4"/>
        <v/>
      </c>
      <c r="G114" s="419" t="str">
        <f>IF(E114&lt;&gt;"",'Assessment Sheet'!G52-'Assessment Sheet'!I52,"")</f>
        <v/>
      </c>
      <c r="H114" s="419" t="str">
        <f t="shared" si="5"/>
        <v/>
      </c>
    </row>
    <row r="115" spans="1:8">
      <c r="A115" s="470">
        <v>9</v>
      </c>
      <c r="B115" s="462" t="str">
        <f>IF('Assessment Sheet'!B53&lt;&gt;"",'Assessment Sheet'!B53,"")</f>
        <v/>
      </c>
      <c r="C115" s="451" t="str">
        <f t="shared" si="3"/>
        <v/>
      </c>
      <c r="D115" s="462" t="str">
        <f>IF(B115&lt;&gt;"",'Assessment Sheet'!E53*100,"")</f>
        <v/>
      </c>
      <c r="E115" s="416" t="str">
        <f>IF('Assessment Sheet'!I53&lt;&gt;0,IF('Assessment Sheet'!$G$71="Yes",'Assessment Sheet'!I53*0.75,'Assessment Sheet'!I53),"")</f>
        <v/>
      </c>
      <c r="F115" s="416" t="str">
        <f t="shared" si="4"/>
        <v/>
      </c>
      <c r="G115" s="419" t="str">
        <f>IF(E115&lt;&gt;"",'Assessment Sheet'!G53-'Assessment Sheet'!I53,"")</f>
        <v/>
      </c>
      <c r="H115" s="419" t="str">
        <f t="shared" si="5"/>
        <v/>
      </c>
    </row>
    <row r="116" spans="1:8">
      <c r="A116" s="470">
        <v>10</v>
      </c>
      <c r="B116" s="462" t="str">
        <f>IF('Assessment Sheet'!B54&lt;&gt;"",'Assessment Sheet'!B54,"")</f>
        <v/>
      </c>
      <c r="C116" s="451" t="str">
        <f t="shared" si="3"/>
        <v/>
      </c>
      <c r="D116" s="462" t="str">
        <f>IF(B116&lt;&gt;"",'Assessment Sheet'!E54*100,"")</f>
        <v/>
      </c>
      <c r="E116" s="416" t="str">
        <f>IF('Assessment Sheet'!I54&lt;&gt;0,IF('Assessment Sheet'!$G$71="Yes",'Assessment Sheet'!I54*0.75,'Assessment Sheet'!I54),"")</f>
        <v/>
      </c>
      <c r="F116" s="416" t="str">
        <f t="shared" si="4"/>
        <v/>
      </c>
      <c r="G116" s="419" t="str">
        <f>IF(E116&lt;&gt;"",'Assessment Sheet'!G54-'Assessment Sheet'!I54,"")</f>
        <v/>
      </c>
      <c r="H116" s="419" t="str">
        <f t="shared" si="5"/>
        <v/>
      </c>
    </row>
    <row r="117" spans="1:8">
      <c r="A117" s="470">
        <v>11</v>
      </c>
      <c r="B117" s="462" t="str">
        <f>IF('Assessment Sheet'!B55&lt;&gt;"",'Assessment Sheet'!B55,"")</f>
        <v/>
      </c>
      <c r="C117" s="451" t="str">
        <f t="shared" si="3"/>
        <v/>
      </c>
      <c r="D117" s="462" t="str">
        <f>IF(B117&lt;&gt;"",'Assessment Sheet'!E55*100,"")</f>
        <v/>
      </c>
      <c r="E117" s="416" t="str">
        <f>IF('Assessment Sheet'!I55&lt;&gt;0,IF('Assessment Sheet'!$G$71="Yes",'Assessment Sheet'!I55*0.75,'Assessment Sheet'!I55),"")</f>
        <v/>
      </c>
      <c r="F117" s="416" t="str">
        <f t="shared" si="4"/>
        <v/>
      </c>
      <c r="G117" s="419" t="str">
        <f>IF(E117&lt;&gt;"",'Assessment Sheet'!G55-'Assessment Sheet'!I55,"")</f>
        <v/>
      </c>
      <c r="H117" s="419" t="str">
        <f t="shared" si="5"/>
        <v/>
      </c>
    </row>
    <row r="118" spans="1:8">
      <c r="A118" s="470">
        <v>12</v>
      </c>
      <c r="B118" s="462" t="str">
        <f>IF('Assessment Sheet'!B56&lt;&gt;"",'Assessment Sheet'!B56,"")</f>
        <v/>
      </c>
      <c r="C118" s="451" t="str">
        <f t="shared" si="3"/>
        <v/>
      </c>
      <c r="D118" s="462" t="str">
        <f>IF(B118&lt;&gt;"",'Assessment Sheet'!E56*100,"")</f>
        <v/>
      </c>
      <c r="E118" s="416" t="str">
        <f>IF('Assessment Sheet'!I56&lt;&gt;0,IF('Assessment Sheet'!$G$71="Yes",'Assessment Sheet'!I56*0.75,'Assessment Sheet'!I56),"")</f>
        <v/>
      </c>
      <c r="F118" s="416" t="str">
        <f t="shared" si="4"/>
        <v/>
      </c>
      <c r="G118" s="419" t="str">
        <f>IF(E118&lt;&gt;"",'Assessment Sheet'!G56-'Assessment Sheet'!I56,"")</f>
        <v/>
      </c>
      <c r="H118" s="419" t="str">
        <f t="shared" si="5"/>
        <v/>
      </c>
    </row>
    <row r="119" spans="1:8">
      <c r="A119" s="470">
        <v>13</v>
      </c>
      <c r="B119" s="462" t="str">
        <f>IF('Assessment Sheet'!B57&lt;&gt;"",'Assessment Sheet'!B57,"")</f>
        <v/>
      </c>
      <c r="C119" s="451" t="str">
        <f t="shared" si="3"/>
        <v/>
      </c>
      <c r="D119" s="462" t="str">
        <f>IF(B119&lt;&gt;"",'Assessment Sheet'!E57*100,"")</f>
        <v/>
      </c>
      <c r="E119" s="416" t="str">
        <f>IF('Assessment Sheet'!I57&lt;&gt;0,IF('Assessment Sheet'!$G$71="Yes",'Assessment Sheet'!I57*0.75,'Assessment Sheet'!I57),"")</f>
        <v/>
      </c>
      <c r="F119" s="416" t="str">
        <f t="shared" si="4"/>
        <v/>
      </c>
      <c r="G119" s="419" t="str">
        <f>IF(E119&lt;&gt;"",'Assessment Sheet'!G57-'Assessment Sheet'!I57,"")</f>
        <v/>
      </c>
      <c r="H119" s="419" t="str">
        <f t="shared" si="5"/>
        <v/>
      </c>
    </row>
    <row r="120" spans="1:8">
      <c r="A120" s="470">
        <v>14</v>
      </c>
      <c r="B120" s="462" t="str">
        <f>IF('Assessment Sheet'!B58&lt;&gt;"",'Assessment Sheet'!B58,"")</f>
        <v/>
      </c>
      <c r="C120" s="451" t="str">
        <f t="shared" si="3"/>
        <v/>
      </c>
      <c r="D120" s="462" t="str">
        <f>IF(B120&lt;&gt;"",'Assessment Sheet'!E58*100,"")</f>
        <v/>
      </c>
      <c r="E120" s="416" t="str">
        <f>IF('Assessment Sheet'!I58&lt;&gt;0,IF('Assessment Sheet'!$G$71="Yes",'Assessment Sheet'!I58*0.75,'Assessment Sheet'!I58),"")</f>
        <v/>
      </c>
      <c r="F120" s="416" t="str">
        <f t="shared" si="4"/>
        <v/>
      </c>
      <c r="G120" s="419" t="str">
        <f>IF(E120&lt;&gt;"",'Assessment Sheet'!G58-'Assessment Sheet'!I58,"")</f>
        <v/>
      </c>
      <c r="H120" s="419" t="str">
        <f t="shared" si="5"/>
        <v/>
      </c>
    </row>
    <row r="121" spans="1:8">
      <c r="A121" s="470">
        <v>15</v>
      </c>
      <c r="B121" s="462" t="str">
        <f>IF('Assessment Sheet'!B59&lt;&gt;"",'Assessment Sheet'!B59,"")</f>
        <v/>
      </c>
      <c r="C121" s="451" t="str">
        <f t="shared" si="3"/>
        <v/>
      </c>
      <c r="D121" s="462" t="str">
        <f>IF(B121&lt;&gt;"",'Assessment Sheet'!E59*100,"")</f>
        <v/>
      </c>
      <c r="E121" s="416" t="str">
        <f>IF('Assessment Sheet'!I59&lt;&gt;0,IF('Assessment Sheet'!$G$71="Yes",'Assessment Sheet'!I59*0.75,'Assessment Sheet'!I59),"")</f>
        <v/>
      </c>
      <c r="F121" s="416" t="str">
        <f t="shared" si="4"/>
        <v/>
      </c>
      <c r="G121" s="419" t="str">
        <f>IF(E121&lt;&gt;"",'Assessment Sheet'!G59-'Assessment Sheet'!I59,"")</f>
        <v/>
      </c>
      <c r="H121" s="419" t="str">
        <f t="shared" si="5"/>
        <v/>
      </c>
    </row>
    <row r="122" spans="1:8">
      <c r="A122" s="881" t="s">
        <v>23</v>
      </c>
      <c r="B122" s="881"/>
      <c r="C122" s="881"/>
      <c r="D122" s="881"/>
      <c r="E122" s="406">
        <f>SUM(E107:E121)</f>
        <v>0</v>
      </c>
      <c r="F122" s="406">
        <f>SUM(F107:F121)</f>
        <v>0</v>
      </c>
      <c r="G122" s="419">
        <f>SUM(G107:G121)</f>
        <v>0</v>
      </c>
      <c r="H122" s="419">
        <f>SUM(H107:H121)</f>
        <v>0</v>
      </c>
    </row>
    <row r="123" spans="1:8" ht="15.75" thickBot="1"/>
    <row r="124" spans="1:8" ht="15.75" thickBot="1">
      <c r="A124" s="471" t="s">
        <v>25</v>
      </c>
      <c r="B124" s="857" t="s">
        <v>26</v>
      </c>
      <c r="C124" s="858"/>
      <c r="D124" s="858"/>
      <c r="E124" s="859"/>
      <c r="F124" s="589" t="s">
        <v>448</v>
      </c>
      <c r="H124" s="429" t="s">
        <v>647</v>
      </c>
    </row>
    <row r="125" spans="1:8">
      <c r="A125" s="421">
        <v>1</v>
      </c>
      <c r="B125" s="430" t="s">
        <v>225</v>
      </c>
      <c r="C125" s="431"/>
      <c r="D125" s="422"/>
      <c r="E125" s="163"/>
      <c r="F125" s="590">
        <f>MAX(E44,E45)</f>
        <v>0</v>
      </c>
      <c r="H125" s="438" t="e">
        <f>MAX(G44,G45)</f>
        <v>#REF!</v>
      </c>
    </row>
    <row r="126" spans="1:8">
      <c r="A126" s="421">
        <v>2</v>
      </c>
      <c r="B126" s="432" t="s">
        <v>27</v>
      </c>
      <c r="C126" s="433"/>
      <c r="D126" s="422"/>
      <c r="E126" s="163"/>
      <c r="F126" s="591">
        <f>E72</f>
        <v>0</v>
      </c>
      <c r="H126" s="438">
        <f>G72</f>
        <v>0</v>
      </c>
    </row>
    <row r="127" spans="1:8">
      <c r="A127" s="421">
        <v>3</v>
      </c>
      <c r="B127" s="432" t="s">
        <v>28</v>
      </c>
      <c r="C127" s="433"/>
      <c r="D127" s="422"/>
      <c r="E127" s="163"/>
      <c r="F127" s="591">
        <f>E103</f>
        <v>0</v>
      </c>
      <c r="H127" s="438">
        <f>G103</f>
        <v>0</v>
      </c>
    </row>
    <row r="128" spans="1:8">
      <c r="A128" s="421">
        <v>4</v>
      </c>
      <c r="B128" s="432" t="s">
        <v>29</v>
      </c>
      <c r="C128" s="433"/>
      <c r="D128" s="422"/>
      <c r="E128" s="163"/>
      <c r="F128" s="591">
        <f>E122</f>
        <v>0</v>
      </c>
      <c r="H128" s="438">
        <f>G122</f>
        <v>0</v>
      </c>
    </row>
    <row r="129" spans="1:12">
      <c r="A129" s="421">
        <v>5</v>
      </c>
      <c r="B129" s="432" t="s">
        <v>30</v>
      </c>
      <c r="C129" s="433"/>
      <c r="D129" s="422"/>
      <c r="E129" s="163"/>
      <c r="F129" s="590">
        <f>'Processing Sheet'!H49</f>
        <v>0</v>
      </c>
      <c r="H129" s="438"/>
    </row>
    <row r="130" spans="1:12">
      <c r="A130" s="421">
        <v>6</v>
      </c>
      <c r="B130" s="432" t="s">
        <v>638</v>
      </c>
      <c r="C130" s="433"/>
      <c r="D130" s="422"/>
      <c r="E130" s="163"/>
      <c r="F130" s="591">
        <f>MAX(F44,F45)+F72+F103+F122</f>
        <v>0</v>
      </c>
      <c r="H130" s="438" t="e">
        <f>MAX(H44,H45)+H72+H103+H122</f>
        <v>#REF!</v>
      </c>
    </row>
    <row r="131" spans="1:12" ht="15.75" thickBot="1">
      <c r="A131" s="423">
        <v>7</v>
      </c>
      <c r="B131" s="434" t="s">
        <v>33</v>
      </c>
      <c r="C131" s="435"/>
      <c r="D131" s="435"/>
      <c r="E131" s="435"/>
      <c r="F131" s="424">
        <f>SUM(F125:F130)</f>
        <v>0</v>
      </c>
      <c r="H131" s="439" t="e">
        <f>SUM(H125:H130)</f>
        <v>#REF!</v>
      </c>
      <c r="J131" s="410"/>
    </row>
    <row r="132" spans="1:12" ht="15.75" thickBot="1">
      <c r="A132" s="594">
        <v>8</v>
      </c>
      <c r="B132" s="867" t="s">
        <v>711</v>
      </c>
      <c r="C132" s="868"/>
      <c r="D132" s="869"/>
      <c r="E132" s="483" t="str">
        <f>'Processing Sheet'!F52</f>
        <v>No</v>
      </c>
      <c r="F132" s="592">
        <f>'Processing Sheet'!H52</f>
        <v>0</v>
      </c>
      <c r="H132" s="438"/>
    </row>
    <row r="133" spans="1:12" ht="15" customHeight="1">
      <c r="A133" s="421">
        <v>9</v>
      </c>
      <c r="B133" s="432" t="s">
        <v>159</v>
      </c>
      <c r="C133" s="433"/>
      <c r="D133" s="433"/>
      <c r="E133" s="163"/>
      <c r="F133" s="593">
        <f>'Processing Sheet'!H53</f>
        <v>0</v>
      </c>
      <c r="H133" s="438">
        <f>'Processing Sheet'!H53</f>
        <v>0</v>
      </c>
    </row>
    <row r="134" spans="1:12" ht="15" customHeight="1">
      <c r="A134" s="421">
        <v>10</v>
      </c>
      <c r="B134" s="432" t="s">
        <v>160</v>
      </c>
      <c r="C134" s="433"/>
      <c r="D134" s="433"/>
      <c r="E134" s="163"/>
      <c r="F134" s="591">
        <f>'Processing Sheet'!H54</f>
        <v>1000</v>
      </c>
      <c r="H134" s="438">
        <f>'Processing Sheet'!H54</f>
        <v>1000</v>
      </c>
    </row>
    <row r="135" spans="1:12">
      <c r="A135" s="421">
        <v>11</v>
      </c>
      <c r="B135" s="432" t="s">
        <v>186</v>
      </c>
      <c r="C135" s="433"/>
      <c r="D135" s="433"/>
      <c r="E135" s="163"/>
      <c r="F135" s="591">
        <f>'Processing Sheet'!H55</f>
        <v>0</v>
      </c>
      <c r="H135" s="438">
        <f>'Processing Sheet'!H55</f>
        <v>0</v>
      </c>
    </row>
    <row r="136" spans="1:12">
      <c r="A136" s="421">
        <v>12</v>
      </c>
      <c r="B136" s="432" t="s">
        <v>187</v>
      </c>
      <c r="C136" s="433"/>
      <c r="D136" s="433"/>
      <c r="E136" s="163"/>
      <c r="F136" s="591">
        <f>'Processing Sheet'!H56</f>
        <v>0</v>
      </c>
      <c r="H136" s="438">
        <f>'Processing Sheet'!H56</f>
        <v>0</v>
      </c>
    </row>
    <row r="137" spans="1:12" ht="15.75" thickBot="1">
      <c r="A137" s="425">
        <v>13</v>
      </c>
      <c r="B137" s="436" t="s">
        <v>31</v>
      </c>
      <c r="C137" s="437"/>
      <c r="D137" s="426"/>
      <c r="E137" s="427"/>
      <c r="F137" s="591">
        <f>'Processing Sheet'!H57</f>
        <v>0</v>
      </c>
      <c r="H137" s="440"/>
    </row>
    <row r="138" spans="1:12" ht="15.75" customHeight="1" thickBot="1">
      <c r="A138" s="857" t="s">
        <v>32</v>
      </c>
      <c r="B138" s="858"/>
      <c r="C138" s="858"/>
      <c r="D138" s="858"/>
      <c r="E138" s="859"/>
      <c r="F138" s="428">
        <f>ROUND(F131-SUM(F132:F137),0)</f>
        <v>-1000</v>
      </c>
      <c r="H138" s="441" t="e">
        <f>ROUND(H131+SUM(H132:H137),0)</f>
        <v>#REF!</v>
      </c>
      <c r="L138" s="410"/>
    </row>
    <row r="139" spans="1:12" ht="16.5" customHeight="1">
      <c r="A139" s="876" t="s">
        <v>710</v>
      </c>
      <c r="B139" s="877"/>
      <c r="C139" s="872">
        <f>'Processing Sheet'!D60</f>
        <v>23047</v>
      </c>
      <c r="D139" s="873"/>
      <c r="E139" s="865" t="s">
        <v>260</v>
      </c>
      <c r="F139" s="870">
        <f>'Processing Sheet'!H59</f>
        <v>-1000</v>
      </c>
      <c r="H139" s="409"/>
    </row>
    <row r="140" spans="1:12" ht="15.75" thickBot="1">
      <c r="A140" s="878" t="s">
        <v>742</v>
      </c>
      <c r="B140" s="879"/>
      <c r="C140" s="874">
        <f>'Processing Sheet'!D59</f>
        <v>0</v>
      </c>
      <c r="D140" s="875"/>
      <c r="E140" s="866"/>
      <c r="F140" s="871"/>
      <c r="H140" s="408"/>
    </row>
    <row r="142" spans="1:12">
      <c r="F142" s="410"/>
    </row>
  </sheetData>
  <sheetProtection sheet="1" objects="1" scenarios="1"/>
  <mergeCells count="22">
    <mergeCell ref="A4:G4"/>
    <mergeCell ref="E139:E140"/>
    <mergeCell ref="A138:E138"/>
    <mergeCell ref="B132:D132"/>
    <mergeCell ref="F139:F140"/>
    <mergeCell ref="C139:D139"/>
    <mergeCell ref="C140:D140"/>
    <mergeCell ref="A139:B139"/>
    <mergeCell ref="A140:B140"/>
    <mergeCell ref="A6:G6"/>
    <mergeCell ref="A72:D72"/>
    <mergeCell ref="A42:C42"/>
    <mergeCell ref="A76:B76"/>
    <mergeCell ref="A122:D122"/>
    <mergeCell ref="A103:D103"/>
    <mergeCell ref="A19:G19"/>
    <mergeCell ref="B124:E124"/>
    <mergeCell ref="A21:D21"/>
    <mergeCell ref="A22:D22"/>
    <mergeCell ref="A23:D23"/>
    <mergeCell ref="F21:G21"/>
    <mergeCell ref="A25:G25"/>
  </mergeCells>
  <conditionalFormatting sqref="F139">
    <cfRule type="expression" dxfId="16" priority="1">
      <formula>AND($I$159&gt;200,$C$160="")</formula>
    </cfRule>
  </conditionalFormatting>
  <hyperlinks>
    <hyperlink ref="B37" r:id="rId1" display="http://www.nationalinsuranceindia.com/"/>
  </hyperlinks>
  <printOptions horizontalCentered="1" verticalCentered="1"/>
  <pageMargins left="0.47244094488188998" right="0.70866141732283505" top="0.74803149606299202" bottom="0.74803149606299202" header="0.31496062992126" footer="0.31496062992126"/>
  <pageSetup scale="91" fitToHeight="3" orientation="portrait" r:id="rId2"/>
  <headerFooter>
    <oddFooter>&amp;LVer 4.0.1</oddFooter>
  </headerFooter>
  <rowBreaks count="3" manualBreakCount="3">
    <brk id="41" max="6" man="1"/>
    <brk id="75" max="6" man="1"/>
    <brk id="104" max="6" man="1"/>
  </rowBreaks>
  <drawing r:id="rId3"/>
</worksheet>
</file>

<file path=xl/worksheets/sheet4.xml><?xml version="1.0" encoding="utf-8"?>
<worksheet xmlns="http://schemas.openxmlformats.org/spreadsheetml/2006/main" xmlns:r="http://schemas.openxmlformats.org/officeDocument/2006/relationships">
  <sheetPr codeName="Sheet1"/>
  <dimension ref="A1:O315"/>
  <sheetViews>
    <sheetView tabSelected="1" topLeftCell="A49" workbookViewId="0">
      <selection activeCell="B68" sqref="B68:D68"/>
    </sheetView>
  </sheetViews>
  <sheetFormatPr defaultRowHeight="15"/>
  <cols>
    <col min="1" max="1" width="26.5703125" style="18" customWidth="1"/>
    <col min="2" max="2" width="18.42578125" style="557" customWidth="1"/>
    <col min="3" max="3" width="6.7109375" style="541" customWidth="1"/>
    <col min="4" max="4" width="34.5703125" style="541" customWidth="1"/>
    <col min="5" max="5" width="9.140625" style="507"/>
    <col min="6" max="6" width="36.28515625" style="507" customWidth="1"/>
    <col min="7" max="7" width="12.42578125" style="507" customWidth="1"/>
    <col min="8" max="8" width="20" style="507" customWidth="1"/>
    <col min="9" max="9" width="19.7109375" style="507" customWidth="1"/>
    <col min="10" max="10" width="7.7109375" style="507" customWidth="1"/>
    <col min="11" max="11" width="8.7109375" style="507" customWidth="1"/>
    <col min="12" max="12" width="10.5703125" style="507" customWidth="1"/>
    <col min="13" max="13" width="10.7109375" style="507" bestFit="1" customWidth="1"/>
    <col min="14" max="16384" width="9.140625" style="507"/>
  </cols>
  <sheetData>
    <row r="1" spans="1:15">
      <c r="A1" s="885" t="s">
        <v>44</v>
      </c>
      <c r="B1" s="885"/>
      <c r="C1" s="885"/>
      <c r="D1" s="885"/>
      <c r="F1" s="895" t="s">
        <v>650</v>
      </c>
      <c r="G1" s="896"/>
      <c r="H1" s="908" t="s">
        <v>837</v>
      </c>
      <c r="I1" s="909"/>
    </row>
    <row r="2" spans="1:15">
      <c r="A2" s="508" t="s">
        <v>539</v>
      </c>
      <c r="B2" s="910" t="s">
        <v>666</v>
      </c>
      <c r="C2" s="911"/>
      <c r="D2" s="911"/>
      <c r="F2" s="895" t="s">
        <v>670</v>
      </c>
      <c r="G2" s="896"/>
      <c r="H2" s="908" t="s">
        <v>834</v>
      </c>
      <c r="I2" s="909"/>
    </row>
    <row r="3" spans="1:15">
      <c r="A3" s="12" t="s">
        <v>373</v>
      </c>
      <c r="B3" s="886"/>
      <c r="C3" s="887"/>
      <c r="D3" s="888"/>
      <c r="F3" s="895" t="s">
        <v>625</v>
      </c>
      <c r="G3" s="896"/>
      <c r="H3" s="904"/>
      <c r="I3" s="905"/>
    </row>
    <row r="4" spans="1:15">
      <c r="A4" s="12" t="s">
        <v>374</v>
      </c>
      <c r="B4" s="886"/>
      <c r="C4" s="887"/>
      <c r="D4" s="888"/>
      <c r="F4" s="509"/>
      <c r="G4" s="509"/>
      <c r="H4" s="510" t="s">
        <v>147</v>
      </c>
      <c r="I4" s="511"/>
    </row>
    <row r="5" spans="1:15" ht="15.75">
      <c r="A5" s="12" t="s">
        <v>375</v>
      </c>
      <c r="B5" s="897" t="s">
        <v>835</v>
      </c>
      <c r="C5" s="898"/>
      <c r="D5" s="900"/>
      <c r="F5" s="895" t="s">
        <v>743</v>
      </c>
      <c r="G5" s="896"/>
      <c r="H5" s="906">
        <v>1</v>
      </c>
      <c r="I5" s="907"/>
    </row>
    <row r="6" spans="1:15" ht="15.75">
      <c r="A6" s="12" t="s">
        <v>376</v>
      </c>
      <c r="B6" s="897"/>
      <c r="C6" s="898"/>
      <c r="D6" s="900"/>
      <c r="F6" s="895" t="s">
        <v>658</v>
      </c>
      <c r="G6" s="896"/>
      <c r="H6" s="906" t="s">
        <v>551</v>
      </c>
      <c r="I6" s="907"/>
    </row>
    <row r="7" spans="1:15" ht="15.75">
      <c r="A7" s="12" t="s">
        <v>377</v>
      </c>
      <c r="B7" s="897"/>
      <c r="C7" s="898"/>
      <c r="D7" s="900"/>
      <c r="F7" s="895" t="s">
        <v>621</v>
      </c>
      <c r="G7" s="896"/>
      <c r="H7" s="906" t="s">
        <v>622</v>
      </c>
      <c r="I7" s="907"/>
    </row>
    <row r="8" spans="1:15">
      <c r="A8" s="12" t="s">
        <v>378</v>
      </c>
      <c r="B8" s="901" t="s">
        <v>390</v>
      </c>
      <c r="C8" s="902"/>
      <c r="D8" s="903"/>
      <c r="F8" s="512"/>
      <c r="G8" s="512"/>
      <c r="H8" s="512"/>
      <c r="I8" s="512"/>
      <c r="J8" s="512"/>
      <c r="K8" s="512"/>
      <c r="L8" s="512"/>
      <c r="M8" s="512"/>
    </row>
    <row r="9" spans="1:15">
      <c r="A9" s="12" t="s">
        <v>702</v>
      </c>
      <c r="B9" s="912"/>
      <c r="C9" s="912"/>
      <c r="D9" s="912"/>
      <c r="F9" s="512"/>
      <c r="G9" s="512"/>
      <c r="H9" s="512"/>
      <c r="I9" s="512"/>
      <c r="J9" s="512"/>
      <c r="K9" s="512"/>
      <c r="L9" s="512"/>
      <c r="M9" s="512"/>
    </row>
    <row r="10" spans="1:15">
      <c r="A10" s="12" t="s">
        <v>379</v>
      </c>
      <c r="B10" s="513"/>
      <c r="C10" s="514" t="s">
        <v>67</v>
      </c>
      <c r="D10" s="515"/>
      <c r="F10" s="558" t="s">
        <v>676</v>
      </c>
      <c r="G10" s="943" t="str">
        <f>IF(L16&gt;1,IF(AND(HOUR(B10)&gt;0,L16&gt;1),"Break Insurance","Non-Break Insurance"),"New Policy")</f>
        <v>New Policy</v>
      </c>
      <c r="H10" s="944"/>
      <c r="I10" s="512"/>
      <c r="J10" s="936"/>
      <c r="K10" s="936"/>
      <c r="L10" s="936"/>
      <c r="M10" s="936"/>
    </row>
    <row r="11" spans="1:15" ht="15" customHeight="1">
      <c r="A11" s="118" t="s">
        <v>380</v>
      </c>
      <c r="B11" s="912"/>
      <c r="C11" s="912"/>
      <c r="D11" s="912"/>
      <c r="F11" s="892" t="s">
        <v>531</v>
      </c>
      <c r="G11" s="893"/>
      <c r="H11" s="893"/>
      <c r="I11" s="894"/>
      <c r="J11" s="481"/>
      <c r="K11" s="481"/>
      <c r="L11" s="481"/>
      <c r="M11" s="481"/>
      <c r="N11" s="167"/>
      <c r="O11" s="167"/>
    </row>
    <row r="12" spans="1:15">
      <c r="A12" s="166" t="s">
        <v>381</v>
      </c>
      <c r="B12" s="897">
        <v>1</v>
      </c>
      <c r="C12" s="898"/>
      <c r="D12" s="899"/>
      <c r="F12" s="937" t="s">
        <v>561</v>
      </c>
      <c r="G12" s="938"/>
      <c r="H12" s="938"/>
      <c r="I12" s="939"/>
      <c r="J12" s="481"/>
      <c r="K12" s="481"/>
      <c r="L12" s="481"/>
      <c r="M12" s="481"/>
      <c r="N12" s="167"/>
      <c r="O12" s="167"/>
    </row>
    <row r="13" spans="1:15">
      <c r="A13" s="166" t="s">
        <v>678</v>
      </c>
      <c r="B13" s="897" t="s">
        <v>822</v>
      </c>
      <c r="C13" s="898"/>
      <c r="D13" s="899"/>
      <c r="F13" s="560"/>
      <c r="G13" s="560"/>
      <c r="H13" s="560"/>
      <c r="I13" s="560"/>
      <c r="J13" s="481"/>
      <c r="K13" s="481"/>
      <c r="L13" s="481"/>
      <c r="M13" s="481"/>
      <c r="N13" s="167"/>
      <c r="O13" s="167"/>
    </row>
    <row r="14" spans="1:15" ht="15.75" thickBot="1">
      <c r="A14" s="366" t="s">
        <v>382</v>
      </c>
      <c r="B14" s="913">
        <v>0</v>
      </c>
      <c r="C14" s="913"/>
      <c r="D14" s="913"/>
      <c r="F14" s="481"/>
      <c r="G14" s="481"/>
      <c r="H14" s="481"/>
      <c r="I14" s="481"/>
      <c r="J14" s="481"/>
      <c r="K14" s="481"/>
      <c r="L14" s="481"/>
      <c r="M14" s="481"/>
      <c r="N14" s="167"/>
      <c r="O14" s="167"/>
    </row>
    <row r="15" spans="1:15" ht="15.75" thickBot="1">
      <c r="A15" s="115" t="s">
        <v>383</v>
      </c>
      <c r="B15" s="913">
        <v>0</v>
      </c>
      <c r="C15" s="913"/>
      <c r="D15" s="913"/>
      <c r="F15" s="889" t="s">
        <v>677</v>
      </c>
      <c r="G15" s="890"/>
      <c r="H15" s="891"/>
      <c r="I15" s="516" t="s">
        <v>148</v>
      </c>
      <c r="J15" s="167"/>
      <c r="K15" s="167"/>
      <c r="L15" s="167"/>
      <c r="M15" s="167"/>
      <c r="N15" s="167"/>
      <c r="O15" s="167"/>
    </row>
    <row r="16" spans="1:15" ht="15.75" thickBot="1">
      <c r="A16" s="12" t="s">
        <v>384</v>
      </c>
      <c r="B16" s="997">
        <f>IF(B5="","",E112)</f>
        <v>1000</v>
      </c>
      <c r="C16" s="998"/>
      <c r="D16" s="999"/>
      <c r="F16" s="889" t="s">
        <v>645</v>
      </c>
      <c r="G16" s="890"/>
      <c r="H16" s="891"/>
      <c r="I16" s="516" t="s">
        <v>148</v>
      </c>
      <c r="J16" s="175" t="s">
        <v>248</v>
      </c>
      <c r="K16" s="176"/>
      <c r="L16" s="213">
        <f>ROUND((B38-MIN(B19,B20))/365,2)</f>
        <v>0</v>
      </c>
      <c r="M16" s="167"/>
      <c r="N16" s="167"/>
      <c r="O16" s="167"/>
    </row>
    <row r="17" spans="1:13" ht="15.75" thickBot="1">
      <c r="A17" s="885" t="s">
        <v>45</v>
      </c>
      <c r="B17" s="885"/>
      <c r="C17" s="885"/>
      <c r="D17" s="885"/>
      <c r="F17" s="940" t="s">
        <v>659</v>
      </c>
      <c r="G17" s="941"/>
      <c r="H17" s="942"/>
      <c r="I17" s="815" t="str">
        <f>IF(I16="Yes",IF(B12&gt;2,"No","Yes"),"No")</f>
        <v>Yes</v>
      </c>
      <c r="K17" s="517"/>
      <c r="L17" s="518"/>
      <c r="M17" s="315"/>
    </row>
    <row r="18" spans="1:13" ht="15" customHeight="1">
      <c r="A18" s="12" t="s">
        <v>362</v>
      </c>
      <c r="B18" s="951"/>
      <c r="C18" s="952"/>
      <c r="D18" s="953"/>
      <c r="F18" s="927" t="s">
        <v>660</v>
      </c>
      <c r="G18" s="928"/>
      <c r="H18" s="928"/>
      <c r="I18" s="928"/>
      <c r="J18" s="928"/>
      <c r="K18" s="928"/>
      <c r="L18" s="929"/>
      <c r="M18" s="482"/>
    </row>
    <row r="19" spans="1:13">
      <c r="A19" s="12" t="s">
        <v>363</v>
      </c>
      <c r="B19" s="920"/>
      <c r="C19" s="920"/>
      <c r="D19" s="920"/>
      <c r="F19" s="930"/>
      <c r="G19" s="931"/>
      <c r="H19" s="931"/>
      <c r="I19" s="931"/>
      <c r="J19" s="931"/>
      <c r="K19" s="931"/>
      <c r="L19" s="932"/>
      <c r="M19" s="482"/>
    </row>
    <row r="20" spans="1:13">
      <c r="A20" s="12" t="s">
        <v>364</v>
      </c>
      <c r="B20" s="920"/>
      <c r="C20" s="920"/>
      <c r="D20" s="920"/>
      <c r="F20" s="930"/>
      <c r="G20" s="931"/>
      <c r="H20" s="931"/>
      <c r="I20" s="931"/>
      <c r="J20" s="931"/>
      <c r="K20" s="931"/>
      <c r="L20" s="932"/>
      <c r="M20" s="482"/>
    </row>
    <row r="21" spans="1:13" ht="15" customHeight="1" thickBot="1">
      <c r="A21" s="12" t="s">
        <v>365</v>
      </c>
      <c r="B21" s="951"/>
      <c r="C21" s="952"/>
      <c r="D21" s="953"/>
      <c r="F21" s="933"/>
      <c r="G21" s="934"/>
      <c r="H21" s="934"/>
      <c r="I21" s="934"/>
      <c r="J21" s="934"/>
      <c r="K21" s="934"/>
      <c r="L21" s="935"/>
      <c r="M21" s="482"/>
    </row>
    <row r="22" spans="1:13" ht="15" customHeight="1">
      <c r="A22" s="12" t="s">
        <v>366</v>
      </c>
      <c r="B22" s="951"/>
      <c r="C22" s="952"/>
      <c r="D22" s="953"/>
      <c r="F22" s="482"/>
      <c r="G22" s="482"/>
      <c r="H22" s="482"/>
      <c r="I22" s="482"/>
      <c r="J22" s="482"/>
      <c r="K22" s="482"/>
      <c r="L22" s="482"/>
      <c r="M22" s="482"/>
    </row>
    <row r="23" spans="1:13" ht="15.75" thickBot="1">
      <c r="A23" s="12" t="s">
        <v>367</v>
      </c>
      <c r="B23" s="951" t="s">
        <v>831</v>
      </c>
      <c r="C23" s="952"/>
      <c r="D23" s="953"/>
    </row>
    <row r="24" spans="1:13" ht="15.75" thickBot="1">
      <c r="A24" s="12" t="s">
        <v>513</v>
      </c>
      <c r="B24" s="951"/>
      <c r="C24" s="952"/>
      <c r="D24" s="953"/>
      <c r="F24" s="945" t="s">
        <v>812</v>
      </c>
      <c r="G24" s="946"/>
      <c r="H24" s="947"/>
      <c r="I24" s="516" t="s">
        <v>175</v>
      </c>
    </row>
    <row r="25" spans="1:13" ht="15.75" thickBot="1">
      <c r="A25" s="12" t="s">
        <v>679</v>
      </c>
      <c r="B25" s="951" t="s">
        <v>823</v>
      </c>
      <c r="C25" s="952"/>
      <c r="D25" s="953"/>
      <c r="F25" s="945" t="s">
        <v>813</v>
      </c>
      <c r="G25" s="946"/>
      <c r="H25" s="947"/>
      <c r="I25" s="516" t="s">
        <v>175</v>
      </c>
    </row>
    <row r="26" spans="1:13" ht="15.75" thickBot="1">
      <c r="A26" s="12" t="s">
        <v>695</v>
      </c>
      <c r="B26" s="777" t="s">
        <v>823</v>
      </c>
      <c r="C26" s="569"/>
      <c r="D26" s="570"/>
      <c r="F26" s="945" t="s">
        <v>814</v>
      </c>
      <c r="G26" s="946"/>
      <c r="H26" s="947"/>
      <c r="I26" s="516" t="s">
        <v>175</v>
      </c>
    </row>
    <row r="27" spans="1:13" ht="15.75" thickBot="1">
      <c r="A27" s="12" t="s">
        <v>744</v>
      </c>
      <c r="B27" s="571" t="s">
        <v>823</v>
      </c>
      <c r="C27" s="514" t="s">
        <v>67</v>
      </c>
      <c r="D27" s="573"/>
      <c r="F27" s="945" t="s">
        <v>816</v>
      </c>
      <c r="G27" s="946"/>
      <c r="H27" s="947"/>
      <c r="I27" s="516" t="s">
        <v>175</v>
      </c>
    </row>
    <row r="28" spans="1:13" ht="15.75" thickBot="1">
      <c r="A28" s="12" t="s">
        <v>680</v>
      </c>
      <c r="B28" s="776"/>
      <c r="C28" s="514" t="s">
        <v>67</v>
      </c>
      <c r="D28" s="573"/>
      <c r="F28" s="945" t="s">
        <v>817</v>
      </c>
      <c r="G28" s="946"/>
      <c r="H28" s="947"/>
      <c r="I28" s="516" t="s">
        <v>175</v>
      </c>
    </row>
    <row r="29" spans="1:13" ht="18">
      <c r="A29" s="12" t="s">
        <v>687</v>
      </c>
      <c r="B29" s="951" t="s">
        <v>823</v>
      </c>
      <c r="C29" s="952"/>
      <c r="D29" s="953"/>
      <c r="F29" s="948" t="s">
        <v>818</v>
      </c>
      <c r="G29" s="949"/>
      <c r="H29" s="950"/>
      <c r="I29" s="516" t="s">
        <v>148</v>
      </c>
    </row>
    <row r="30" spans="1:13" ht="15" customHeight="1">
      <c r="A30" s="12" t="s">
        <v>368</v>
      </c>
      <c r="B30" s="954"/>
      <c r="C30" s="955"/>
      <c r="D30" s="519" t="s">
        <v>68</v>
      </c>
      <c r="I30" s="520"/>
    </row>
    <row r="31" spans="1:13" ht="15" customHeight="1">
      <c r="A31" s="12" t="s">
        <v>396</v>
      </c>
      <c r="B31" s="954"/>
      <c r="C31" s="955"/>
      <c r="D31" s="519" t="s">
        <v>69</v>
      </c>
      <c r="F31" s="985" t="s">
        <v>196</v>
      </c>
      <c r="G31" s="985"/>
      <c r="H31" s="985"/>
      <c r="I31" s="521"/>
      <c r="J31" s="521"/>
      <c r="K31" s="521"/>
      <c r="L31" s="521"/>
    </row>
    <row r="32" spans="1:13">
      <c r="A32" s="12" t="s">
        <v>369</v>
      </c>
      <c r="B32" s="970" t="s">
        <v>824</v>
      </c>
      <c r="C32" s="970"/>
      <c r="D32" s="970"/>
      <c r="F32" s="924" t="s">
        <v>197</v>
      </c>
      <c r="G32" s="925"/>
      <c r="H32" s="926"/>
    </row>
    <row r="33" spans="1:13">
      <c r="A33" s="12" t="s">
        <v>370</v>
      </c>
      <c r="B33" s="993" t="s">
        <v>826</v>
      </c>
      <c r="C33" s="952"/>
      <c r="D33" s="953"/>
      <c r="F33" s="217" t="s">
        <v>198</v>
      </c>
      <c r="G33" s="218"/>
      <c r="H33" s="219"/>
      <c r="I33" s="216"/>
      <c r="L33" s="520"/>
      <c r="M33" s="520"/>
    </row>
    <row r="34" spans="1:13">
      <c r="A34" s="12" t="s">
        <v>371</v>
      </c>
      <c r="B34" s="951" t="s">
        <v>824</v>
      </c>
      <c r="C34" s="952"/>
      <c r="D34" s="953"/>
      <c r="F34" s="223" t="s">
        <v>199</v>
      </c>
      <c r="G34" s="224"/>
      <c r="H34" s="225"/>
      <c r="I34" s="216"/>
    </row>
    <row r="35" spans="1:13" ht="15.75" thickBot="1">
      <c r="A35" s="12" t="s">
        <v>397</v>
      </c>
      <c r="B35" s="522">
        <v>5</v>
      </c>
      <c r="C35" s="1025" t="s">
        <v>70</v>
      </c>
      <c r="D35" s="1026"/>
      <c r="F35" s="523"/>
    </row>
    <row r="36" spans="1:13" ht="15.75" thickBot="1">
      <c r="A36" s="13" t="s">
        <v>372</v>
      </c>
      <c r="B36" s="956" t="s">
        <v>148</v>
      </c>
      <c r="C36" s="956"/>
      <c r="D36" s="956"/>
      <c r="E36" s="10"/>
      <c r="F36" s="921" t="s">
        <v>200</v>
      </c>
      <c r="G36" s="922"/>
      <c r="H36" s="923"/>
    </row>
    <row r="37" spans="1:13">
      <c r="A37" s="885" t="s">
        <v>63</v>
      </c>
      <c r="B37" s="885"/>
      <c r="C37" s="885"/>
      <c r="D37" s="885"/>
      <c r="F37" s="217" t="s">
        <v>201</v>
      </c>
      <c r="G37" s="218"/>
      <c r="H37" s="219"/>
      <c r="I37" s="216"/>
    </row>
    <row r="38" spans="1:13">
      <c r="A38" s="12" t="s">
        <v>357</v>
      </c>
      <c r="B38" s="524"/>
      <c r="C38" s="957" t="s">
        <v>805</v>
      </c>
      <c r="D38" s="958"/>
      <c r="F38" s="217" t="s">
        <v>202</v>
      </c>
      <c r="G38" s="218"/>
      <c r="H38" s="219"/>
      <c r="I38" s="216"/>
    </row>
    <row r="39" spans="1:13">
      <c r="A39" s="12" t="s">
        <v>356</v>
      </c>
      <c r="B39" s="1020"/>
      <c r="C39" s="1020"/>
      <c r="D39" s="1020"/>
      <c r="F39" s="217" t="s">
        <v>203</v>
      </c>
      <c r="G39" s="218"/>
      <c r="H39" s="219"/>
      <c r="I39" s="216"/>
    </row>
    <row r="40" spans="1:13">
      <c r="A40" s="12" t="s">
        <v>355</v>
      </c>
      <c r="B40" s="920"/>
      <c r="C40" s="920"/>
      <c r="D40" s="920"/>
      <c r="F40" s="485" t="s">
        <v>204</v>
      </c>
      <c r="G40" s="486"/>
      <c r="H40" s="487"/>
      <c r="I40" s="119"/>
    </row>
    <row r="41" spans="1:13">
      <c r="A41" s="12" t="s">
        <v>354</v>
      </c>
      <c r="B41" s="960"/>
      <c r="C41" s="961"/>
      <c r="D41" s="962"/>
      <c r="F41" s="485" t="s">
        <v>205</v>
      </c>
      <c r="G41" s="486"/>
      <c r="H41" s="487"/>
      <c r="I41" s="119"/>
    </row>
    <row r="42" spans="1:13">
      <c r="A42" s="14" t="s">
        <v>745</v>
      </c>
      <c r="B42" s="963"/>
      <c r="C42" s="963"/>
      <c r="D42" s="963"/>
      <c r="F42" s="220" t="s">
        <v>206</v>
      </c>
      <c r="G42" s="221"/>
      <c r="H42" s="222"/>
      <c r="I42" s="119"/>
    </row>
    <row r="43" spans="1:13">
      <c r="A43" s="15" t="s">
        <v>127</v>
      </c>
      <c r="B43" s="920"/>
      <c r="C43" s="920"/>
      <c r="D43" s="920"/>
    </row>
    <row r="44" spans="1:13">
      <c r="A44" s="15" t="s">
        <v>122</v>
      </c>
      <c r="B44" s="920"/>
      <c r="C44" s="920"/>
      <c r="D44" s="920"/>
      <c r="F44" s="979" t="s">
        <v>207</v>
      </c>
      <c r="G44" s="980"/>
      <c r="H44" s="981"/>
    </row>
    <row r="45" spans="1:13" ht="15.75" thickBot="1">
      <c r="A45" s="15" t="s">
        <v>123</v>
      </c>
      <c r="B45" s="1000" t="s">
        <v>836</v>
      </c>
      <c r="C45" s="1000"/>
      <c r="D45" s="1000"/>
      <c r="F45" s="982" t="s">
        <v>208</v>
      </c>
      <c r="G45" s="983"/>
      <c r="H45" s="984"/>
    </row>
    <row r="46" spans="1:13">
      <c r="A46" s="1007" t="s">
        <v>361</v>
      </c>
      <c r="B46" s="1010" t="s">
        <v>832</v>
      </c>
      <c r="C46" s="1011"/>
      <c r="D46" s="1012"/>
      <c r="E46" s="525"/>
      <c r="F46" s="217" t="s">
        <v>209</v>
      </c>
      <c r="G46" s="218"/>
      <c r="H46" s="219"/>
      <c r="I46" s="216"/>
    </row>
    <row r="47" spans="1:13">
      <c r="A47" s="1008"/>
      <c r="B47" s="1013"/>
      <c r="C47" s="1014"/>
      <c r="D47" s="1015"/>
      <c r="E47" s="525"/>
      <c r="F47" s="217" t="s">
        <v>210</v>
      </c>
      <c r="G47" s="218"/>
      <c r="H47" s="219"/>
      <c r="I47" s="216"/>
      <c r="J47" s="216"/>
      <c r="K47" s="216"/>
      <c r="L47" s="216"/>
    </row>
    <row r="48" spans="1:13" ht="54" customHeight="1" thickBot="1">
      <c r="A48" s="1009"/>
      <c r="B48" s="1016"/>
      <c r="C48" s="1017"/>
      <c r="D48" s="1018"/>
      <c r="E48" s="525"/>
      <c r="F48" s="485" t="s">
        <v>211</v>
      </c>
      <c r="G48" s="486"/>
      <c r="H48" s="487"/>
      <c r="I48" s="119"/>
      <c r="J48" s="119"/>
    </row>
    <row r="49" spans="1:9" ht="16.5" customHeight="1">
      <c r="A49" s="72" t="s">
        <v>360</v>
      </c>
      <c r="B49" s="1022" t="s">
        <v>175</v>
      </c>
      <c r="C49" s="1023"/>
      <c r="D49" s="1024"/>
      <c r="E49" s="526"/>
      <c r="F49" s="485" t="s">
        <v>212</v>
      </c>
      <c r="G49" s="486"/>
      <c r="H49" s="487"/>
    </row>
    <row r="50" spans="1:9" ht="16.5" customHeight="1">
      <c r="A50" s="72" t="s">
        <v>567</v>
      </c>
      <c r="B50" s="920"/>
      <c r="C50" s="920"/>
      <c r="D50" s="920"/>
      <c r="E50" s="526"/>
      <c r="F50" s="220" t="s">
        <v>213</v>
      </c>
      <c r="G50" s="221"/>
      <c r="H50" s="222"/>
    </row>
    <row r="51" spans="1:9" ht="22.5" customHeight="1">
      <c r="A51" s="72" t="s">
        <v>359</v>
      </c>
      <c r="B51" s="920"/>
      <c r="C51" s="920"/>
      <c r="D51" s="920"/>
      <c r="F51" s="379" t="s">
        <v>272</v>
      </c>
      <c r="G51" s="380"/>
      <c r="H51" s="381"/>
    </row>
    <row r="52" spans="1:9">
      <c r="A52" s="885" t="s">
        <v>62</v>
      </c>
      <c r="B52" s="885"/>
      <c r="C52" s="885"/>
      <c r="D52" s="885"/>
      <c r="F52" s="210" t="s">
        <v>265</v>
      </c>
      <c r="G52" s="527"/>
      <c r="H52" s="304"/>
      <c r="I52" s="209"/>
    </row>
    <row r="53" spans="1:9">
      <c r="A53" s="12" t="s">
        <v>358</v>
      </c>
      <c r="B53" s="959"/>
      <c r="C53" s="959"/>
      <c r="D53" s="959"/>
      <c r="F53" s="211" t="s">
        <v>264</v>
      </c>
      <c r="G53" s="296"/>
      <c r="H53" s="307"/>
    </row>
    <row r="54" spans="1:9">
      <c r="A54" s="16" t="s">
        <v>124</v>
      </c>
      <c r="B54" s="1019"/>
      <c r="C54" s="959"/>
      <c r="D54" s="959"/>
      <c r="F54" s="211" t="s">
        <v>270</v>
      </c>
      <c r="G54" s="296"/>
      <c r="H54" s="307"/>
    </row>
    <row r="55" spans="1:9">
      <c r="A55" s="16" t="s">
        <v>125</v>
      </c>
      <c r="B55" s="920"/>
      <c r="C55" s="920"/>
      <c r="D55" s="920"/>
      <c r="F55" s="211" t="s">
        <v>271</v>
      </c>
      <c r="G55" s="296"/>
      <c r="H55" s="307"/>
    </row>
    <row r="56" spans="1:9">
      <c r="A56" s="16" t="s">
        <v>64</v>
      </c>
      <c r="B56" s="920"/>
      <c r="C56" s="920"/>
      <c r="D56" s="920"/>
      <c r="F56" s="211" t="s">
        <v>266</v>
      </c>
      <c r="G56" s="296"/>
      <c r="H56" s="307"/>
    </row>
    <row r="57" spans="1:9">
      <c r="A57" s="16" t="s">
        <v>66</v>
      </c>
      <c r="B57" s="920" t="s">
        <v>833</v>
      </c>
      <c r="C57" s="920"/>
      <c r="D57" s="920"/>
      <c r="F57" s="211" t="s">
        <v>267</v>
      </c>
      <c r="G57" s="296"/>
      <c r="H57" s="307"/>
    </row>
    <row r="58" spans="1:9">
      <c r="A58" s="16" t="s">
        <v>65</v>
      </c>
      <c r="B58" s="1021" t="s">
        <v>283</v>
      </c>
      <c r="C58" s="1021"/>
      <c r="D58" s="1021"/>
      <c r="F58" s="211" t="s">
        <v>268</v>
      </c>
      <c r="G58" s="296"/>
      <c r="H58" s="307"/>
    </row>
    <row r="59" spans="1:9">
      <c r="A59" s="885" t="s">
        <v>43</v>
      </c>
      <c r="B59" s="885"/>
      <c r="C59" s="885"/>
      <c r="D59" s="885"/>
      <c r="F59" s="211" t="s">
        <v>283</v>
      </c>
      <c r="G59" s="296"/>
      <c r="H59" s="307"/>
    </row>
    <row r="60" spans="1:9">
      <c r="A60" s="17" t="s">
        <v>126</v>
      </c>
      <c r="B60" s="959" t="s">
        <v>293</v>
      </c>
      <c r="C60" s="959"/>
      <c r="D60" s="959"/>
      <c r="F60" s="211" t="s">
        <v>282</v>
      </c>
      <c r="G60" s="296"/>
      <c r="H60" s="307"/>
    </row>
    <row r="61" spans="1:9" ht="17.25" customHeight="1">
      <c r="A61" s="971" t="s">
        <v>157</v>
      </c>
      <c r="B61" s="1001" t="str">
        <f>VLOOKUP(B60,'Surveyor''s Master'!B2:N30,2,FALSE)</f>
        <v>V/477, Vidyapuri, Kankarbagh, Patna-800020</v>
      </c>
      <c r="C61" s="1002"/>
      <c r="D61" s="1003"/>
      <c r="F61" s="212" t="s">
        <v>269</v>
      </c>
      <c r="G61" s="528"/>
      <c r="H61" s="529"/>
    </row>
    <row r="62" spans="1:9" ht="15" customHeight="1">
      <c r="A62" s="972"/>
      <c r="B62" s="1004"/>
      <c r="C62" s="1005"/>
      <c r="D62" s="1006"/>
    </row>
    <row r="63" spans="1:9">
      <c r="A63" s="17" t="s">
        <v>37</v>
      </c>
      <c r="B63" s="986">
        <f>VLOOKUP(B60,'Surveyor''s Master'!B2:N30,3,FALSE)</f>
        <v>9334110636</v>
      </c>
      <c r="C63" s="986"/>
      <c r="D63" s="986"/>
    </row>
    <row r="64" spans="1:9" ht="15.75" customHeight="1">
      <c r="A64" s="17" t="s">
        <v>41</v>
      </c>
      <c r="B64" s="914">
        <f>VLOOKUP(B60,'Surveyor''s Master'!B2:N30,4,FALSE)</f>
        <v>0</v>
      </c>
      <c r="C64" s="915"/>
      <c r="D64" s="916"/>
      <c r="F64" s="506" t="s">
        <v>675</v>
      </c>
    </row>
    <row r="65" spans="1:7" ht="15" customHeight="1">
      <c r="A65" s="17" t="s">
        <v>38</v>
      </c>
      <c r="B65" s="973" t="str">
        <f>VLOOKUP(B60,'Surveyor''s Master'!B2:N30,5,FALSE)</f>
        <v>dilipsinha11k@gmail.com</v>
      </c>
      <c r="C65" s="974"/>
      <c r="D65" s="975"/>
      <c r="F65" s="504" t="s">
        <v>533</v>
      </c>
      <c r="G65" s="530">
        <v>0</v>
      </c>
    </row>
    <row r="66" spans="1:7">
      <c r="A66" s="17" t="s">
        <v>42</v>
      </c>
      <c r="B66" s="976">
        <f>VLOOKUP(B60,'Surveyor''s Master'!B2:N30,6,FALSE)</f>
        <v>63315</v>
      </c>
      <c r="C66" s="977"/>
      <c r="D66" s="978"/>
      <c r="F66" s="504" t="s">
        <v>534</v>
      </c>
      <c r="G66" s="530">
        <v>0</v>
      </c>
    </row>
    <row r="67" spans="1:7">
      <c r="A67" s="17" t="s">
        <v>36</v>
      </c>
      <c r="B67" s="988">
        <v>46469</v>
      </c>
      <c r="C67" s="989"/>
      <c r="D67" s="990"/>
      <c r="F67" s="504" t="s">
        <v>536</v>
      </c>
      <c r="G67" s="530">
        <f>'Processing Sheet'!E31</f>
        <v>0</v>
      </c>
    </row>
    <row r="68" spans="1:7">
      <c r="A68" s="74" t="s">
        <v>606</v>
      </c>
      <c r="B68" s="917" t="str">
        <f>VLOOKUP(B60,'Surveyor''s Master'!B2:N30,9,FALSE)</f>
        <v>State Bank of India</v>
      </c>
      <c r="C68" s="918"/>
      <c r="D68" s="919"/>
      <c r="F68" s="504" t="s">
        <v>535</v>
      </c>
      <c r="G68" s="530">
        <v>50</v>
      </c>
    </row>
    <row r="69" spans="1:7">
      <c r="A69" s="74" t="s">
        <v>579</v>
      </c>
      <c r="B69" s="531" t="str">
        <f>VLOOKUP(B60,'Surveyor''s Master'!B2:N30,10,FALSE)</f>
        <v>Hanuman Nagar Br.</v>
      </c>
      <c r="C69" s="532"/>
      <c r="D69" s="533"/>
      <c r="F69" s="504" t="s">
        <v>537</v>
      </c>
      <c r="G69" s="530">
        <v>50</v>
      </c>
    </row>
    <row r="70" spans="1:7">
      <c r="A70" s="74" t="s">
        <v>178</v>
      </c>
      <c r="B70" s="917" t="str">
        <f>VLOOKUP(B60,'Surveyor''s Master'!B2:N30,11,FALSE)</f>
        <v>SBIN0009005</v>
      </c>
      <c r="C70" s="918"/>
      <c r="D70" s="919"/>
      <c r="F70" s="505" t="s">
        <v>538</v>
      </c>
      <c r="G70" s="530">
        <v>30</v>
      </c>
    </row>
    <row r="71" spans="1:7" ht="15" customHeight="1">
      <c r="A71" s="74" t="s">
        <v>578</v>
      </c>
      <c r="B71" s="994">
        <f>VLOOKUP(B60,'Surveyor''s Master'!B2:N30,12,FALSE)</f>
        <v>20019295926</v>
      </c>
      <c r="C71" s="995"/>
      <c r="D71" s="996"/>
      <c r="E71" s="534"/>
      <c r="F71" s="535"/>
      <c r="G71" s="530">
        <v>30</v>
      </c>
    </row>
    <row r="72" spans="1:7">
      <c r="A72" s="74" t="s">
        <v>177</v>
      </c>
      <c r="B72" s="917" t="str">
        <f>VLOOKUP(B60,'Surveyor''s Master'!B2:N30,13,FALSE)</f>
        <v>APZPS2395Q</v>
      </c>
      <c r="C72" s="918"/>
      <c r="D72" s="919"/>
      <c r="E72" s="534"/>
      <c r="F72" s="412"/>
    </row>
    <row r="73" spans="1:7">
      <c r="A73" s="74" t="s">
        <v>635</v>
      </c>
      <c r="B73" s="917" t="str">
        <f>VLOOKUP(B60,'Surveyor''s Master'!B2:N30,7,FALSE)</f>
        <v>Not Appiled</v>
      </c>
      <c r="C73" s="918"/>
      <c r="D73" s="919"/>
      <c r="E73" s="536"/>
      <c r="F73" s="412"/>
    </row>
    <row r="74" spans="1:7">
      <c r="A74" s="19"/>
      <c r="B74" s="537"/>
      <c r="C74" s="538"/>
      <c r="D74" s="538"/>
      <c r="F74" s="412"/>
    </row>
    <row r="75" spans="1:7">
      <c r="A75" s="992" t="s">
        <v>263</v>
      </c>
      <c r="B75" s="992"/>
      <c r="C75" s="538"/>
      <c r="D75" s="538"/>
      <c r="F75" s="396"/>
    </row>
    <row r="76" spans="1:7">
      <c r="A76" s="206" t="s">
        <v>639</v>
      </c>
      <c r="B76" s="206" t="s">
        <v>640</v>
      </c>
      <c r="C76" s="538"/>
      <c r="D76" s="538"/>
      <c r="F76" s="396"/>
    </row>
    <row r="77" spans="1:7">
      <c r="A77" s="539">
        <v>0</v>
      </c>
      <c r="B77" s="539">
        <v>0.18</v>
      </c>
      <c r="C77" s="538"/>
      <c r="D77" s="538"/>
      <c r="F77" s="396"/>
    </row>
    <row r="78" spans="1:7">
      <c r="A78" s="539">
        <v>0.05</v>
      </c>
      <c r="B78" s="540"/>
      <c r="C78" s="538"/>
      <c r="F78" s="257"/>
    </row>
    <row r="79" spans="1:7">
      <c r="A79" s="539">
        <v>0.12</v>
      </c>
      <c r="B79" s="540"/>
      <c r="C79" s="538"/>
      <c r="D79" s="538"/>
    </row>
    <row r="80" spans="1:7">
      <c r="A80" s="539">
        <v>0.18</v>
      </c>
      <c r="B80" s="540"/>
      <c r="C80" s="538"/>
      <c r="D80" s="538"/>
    </row>
    <row r="81" spans="1:8">
      <c r="A81" s="539">
        <v>0.28000000000000003</v>
      </c>
      <c r="B81" s="540"/>
      <c r="C81" s="538"/>
      <c r="D81" s="538"/>
      <c r="F81" s="991" t="s">
        <v>180</v>
      </c>
      <c r="G81" s="991"/>
      <c r="H81" s="991"/>
    </row>
    <row r="82" spans="1:8">
      <c r="A82" s="539"/>
      <c r="B82" s="540"/>
      <c r="C82" s="538"/>
      <c r="D82" s="538"/>
      <c r="F82" s="991"/>
      <c r="G82" s="991"/>
      <c r="H82" s="991"/>
    </row>
    <row r="83" spans="1:8">
      <c r="A83" s="19"/>
      <c r="B83" s="537"/>
      <c r="C83" s="538"/>
      <c r="D83" s="538"/>
    </row>
    <row r="84" spans="1:8">
      <c r="A84" s="19"/>
      <c r="B84" s="537"/>
      <c r="C84" s="538"/>
      <c r="D84" s="538"/>
    </row>
    <row r="85" spans="1:8">
      <c r="A85" s="19"/>
      <c r="B85" s="537"/>
      <c r="C85" s="538"/>
      <c r="D85" s="538"/>
    </row>
    <row r="86" spans="1:8" hidden="1">
      <c r="A86" s="19"/>
      <c r="B86" s="537"/>
      <c r="C86" s="538"/>
      <c r="D86" s="538"/>
    </row>
    <row r="87" spans="1:8" hidden="1">
      <c r="A87" s="19"/>
      <c r="B87" s="537"/>
      <c r="C87" s="538"/>
      <c r="D87" s="538"/>
    </row>
    <row r="88" spans="1:8" ht="15.75" hidden="1" thickBot="1">
      <c r="A88" s="19"/>
      <c r="B88" s="537"/>
      <c r="C88" s="538"/>
      <c r="D88" s="538"/>
    </row>
    <row r="89" spans="1:8" ht="15.75" hidden="1" thickBot="1">
      <c r="A89" s="967" t="s">
        <v>408</v>
      </c>
      <c r="B89" s="968"/>
      <c r="C89" s="968"/>
      <c r="D89" s="968"/>
      <c r="E89" s="968"/>
      <c r="F89" s="969"/>
    </row>
    <row r="90" spans="1:8" hidden="1">
      <c r="A90" s="259" t="s">
        <v>390</v>
      </c>
      <c r="B90" s="542">
        <v>1</v>
      </c>
      <c r="C90" s="542" t="str">
        <f t="shared" ref="C90:C95" si="0">A90&amp;B90</f>
        <v>PRIVATE CAR1</v>
      </c>
      <c r="D90" s="543"/>
      <c r="E90" s="542">
        <v>1000</v>
      </c>
      <c r="F90" s="544" t="s">
        <v>386</v>
      </c>
    </row>
    <row r="91" spans="1:8" hidden="1">
      <c r="A91" s="259" t="s">
        <v>390</v>
      </c>
      <c r="B91" s="542">
        <v>2</v>
      </c>
      <c r="C91" s="542" t="str">
        <f t="shared" si="0"/>
        <v>PRIVATE CAR2</v>
      </c>
      <c r="D91" s="543"/>
      <c r="E91" s="542">
        <v>2000</v>
      </c>
      <c r="F91" s="544" t="s">
        <v>385</v>
      </c>
    </row>
    <row r="92" spans="1:8" hidden="1">
      <c r="A92" s="259" t="s">
        <v>387</v>
      </c>
      <c r="B92" s="542">
        <v>1</v>
      </c>
      <c r="C92" s="542" t="str">
        <f t="shared" si="0"/>
        <v>TAXI1</v>
      </c>
      <c r="D92" s="543"/>
      <c r="E92" s="542">
        <v>500</v>
      </c>
      <c r="F92" s="544"/>
    </row>
    <row r="93" spans="1:8" hidden="1">
      <c r="A93" s="259" t="s">
        <v>387</v>
      </c>
      <c r="B93" s="542">
        <v>2</v>
      </c>
      <c r="C93" s="542" t="str">
        <f t="shared" si="0"/>
        <v>TAXI2</v>
      </c>
      <c r="D93" s="543"/>
      <c r="E93" s="542">
        <v>1000</v>
      </c>
      <c r="F93" s="544"/>
    </row>
    <row r="94" spans="1:8" hidden="1">
      <c r="A94" s="259" t="s">
        <v>281</v>
      </c>
      <c r="B94" s="542">
        <v>1</v>
      </c>
      <c r="C94" s="542" t="str">
        <f t="shared" si="0"/>
        <v>AMBULANCE1</v>
      </c>
      <c r="D94" s="543"/>
      <c r="E94" s="542">
        <v>2000</v>
      </c>
      <c r="F94" s="544"/>
    </row>
    <row r="95" spans="1:8" hidden="1">
      <c r="A95" s="259" t="s">
        <v>281</v>
      </c>
      <c r="B95" s="542">
        <v>2</v>
      </c>
      <c r="C95" s="542" t="str">
        <f t="shared" si="0"/>
        <v>AMBULANCE2</v>
      </c>
      <c r="D95" s="543"/>
      <c r="E95" s="542">
        <f>ROUND(0.5*B105/100,0)</f>
        <v>0</v>
      </c>
      <c r="F95" s="544"/>
    </row>
    <row r="96" spans="1:8" hidden="1">
      <c r="A96" s="259" t="s">
        <v>388</v>
      </c>
      <c r="B96" s="542">
        <v>1</v>
      </c>
      <c r="C96" s="542" t="str">
        <f t="shared" ref="C96:C102" si="1">A96&amp;B96</f>
        <v>GOODS CARRYING VEHICLE1</v>
      </c>
      <c r="D96" s="543"/>
      <c r="E96" s="542">
        <v>500</v>
      </c>
      <c r="F96" s="544" t="s">
        <v>398</v>
      </c>
    </row>
    <row r="97" spans="1:6" hidden="1">
      <c r="A97" s="259" t="s">
        <v>388</v>
      </c>
      <c r="B97" s="542">
        <v>2</v>
      </c>
      <c r="C97" s="542" t="str">
        <f t="shared" si="1"/>
        <v>GOODS CARRYING VEHICLE2</v>
      </c>
      <c r="D97" s="543"/>
      <c r="E97" s="542">
        <v>1000</v>
      </c>
      <c r="F97" s="544" t="s">
        <v>392</v>
      </c>
    </row>
    <row r="98" spans="1:6" hidden="1">
      <c r="A98" s="259" t="s">
        <v>388</v>
      </c>
      <c r="B98" s="542">
        <v>3</v>
      </c>
      <c r="C98" s="542" t="str">
        <f t="shared" si="1"/>
        <v>GOODS CARRYING VEHICLE3</v>
      </c>
      <c r="D98" s="543"/>
      <c r="E98" s="542">
        <v>1500</v>
      </c>
      <c r="F98" s="544" t="s">
        <v>393</v>
      </c>
    </row>
    <row r="99" spans="1:6" hidden="1">
      <c r="A99" s="259" t="s">
        <v>389</v>
      </c>
      <c r="B99" s="542">
        <v>1</v>
      </c>
      <c r="C99" s="542" t="str">
        <f t="shared" si="1"/>
        <v>PASSENGER CARRYING VEHICLE1</v>
      </c>
      <c r="D99" s="543"/>
      <c r="E99" s="542">
        <v>500</v>
      </c>
      <c r="F99" s="544" t="s">
        <v>399</v>
      </c>
    </row>
    <row r="100" spans="1:6" hidden="1">
      <c r="A100" s="259" t="s">
        <v>389</v>
      </c>
      <c r="B100" s="542">
        <v>2</v>
      </c>
      <c r="C100" s="542" t="str">
        <f t="shared" si="1"/>
        <v>PASSENGER CARRYING VEHICLE2</v>
      </c>
      <c r="D100" s="543"/>
      <c r="E100" s="542">
        <v>1000</v>
      </c>
      <c r="F100" s="544" t="s">
        <v>394</v>
      </c>
    </row>
    <row r="101" spans="1:6" hidden="1">
      <c r="A101" s="259" t="s">
        <v>389</v>
      </c>
      <c r="B101" s="542">
        <v>3</v>
      </c>
      <c r="C101" s="542" t="str">
        <f t="shared" si="1"/>
        <v>PASSENGER CARRYING VEHICLE3</v>
      </c>
      <c r="D101" s="543"/>
      <c r="E101" s="542">
        <v>1500</v>
      </c>
      <c r="F101" s="544" t="s">
        <v>395</v>
      </c>
    </row>
    <row r="102" spans="1:6" ht="15.75" hidden="1" thickBot="1">
      <c r="A102" s="260" t="s">
        <v>391</v>
      </c>
      <c r="B102" s="545">
        <v>1</v>
      </c>
      <c r="C102" s="545" t="str">
        <f t="shared" si="1"/>
        <v>TWO WHEELER1</v>
      </c>
      <c r="D102" s="546"/>
      <c r="E102" s="545">
        <v>100</v>
      </c>
      <c r="F102" s="547"/>
    </row>
    <row r="103" spans="1:6" hidden="1">
      <c r="A103" s="19"/>
      <c r="B103" s="537"/>
      <c r="C103" s="538"/>
      <c r="D103" s="538"/>
    </row>
    <row r="104" spans="1:6" hidden="1">
      <c r="A104" s="965" t="s">
        <v>407</v>
      </c>
      <c r="B104" s="966"/>
      <c r="C104" s="538"/>
      <c r="D104" s="538"/>
    </row>
    <row r="105" spans="1:6" hidden="1">
      <c r="A105" s="258" t="s">
        <v>400</v>
      </c>
      <c r="B105" s="548">
        <f>B11</f>
        <v>0</v>
      </c>
      <c r="C105" s="538"/>
      <c r="D105" s="538"/>
    </row>
    <row r="106" spans="1:6" hidden="1">
      <c r="A106" s="549" t="str">
        <f>B8</f>
        <v>PRIVATE CAR</v>
      </c>
      <c r="B106" s="550"/>
      <c r="C106" s="538"/>
      <c r="D106" s="538"/>
    </row>
    <row r="107" spans="1:6" hidden="1">
      <c r="A107" s="551" t="s">
        <v>401</v>
      </c>
      <c r="B107" s="550" t="e">
        <f>#REF!</f>
        <v>#REF!</v>
      </c>
      <c r="C107" s="538"/>
      <c r="D107" s="538"/>
    </row>
    <row r="108" spans="1:6" hidden="1">
      <c r="A108" s="551" t="s">
        <v>402</v>
      </c>
      <c r="B108" s="550">
        <f>B30</f>
        <v>0</v>
      </c>
      <c r="C108" s="538"/>
      <c r="D108" s="538"/>
    </row>
    <row r="109" spans="1:6" hidden="1">
      <c r="A109" s="552" t="s">
        <v>403</v>
      </c>
      <c r="B109" s="529">
        <f>B31</f>
        <v>0</v>
      </c>
      <c r="C109" s="538"/>
      <c r="D109" s="538"/>
    </row>
    <row r="110" spans="1:6" hidden="1">
      <c r="A110" s="19"/>
      <c r="B110" s="537"/>
      <c r="C110" s="538"/>
      <c r="D110" s="538"/>
    </row>
    <row r="111" spans="1:6" hidden="1">
      <c r="A111" s="261" t="s">
        <v>404</v>
      </c>
      <c r="B111" s="987" t="s">
        <v>406</v>
      </c>
      <c r="C111" s="987"/>
      <c r="D111" s="987"/>
      <c r="E111" s="553" t="s">
        <v>405</v>
      </c>
    </row>
    <row r="112" spans="1:6" ht="15.75" hidden="1">
      <c r="A112" s="554">
        <f>IF(A106="PRIVATE CAR",IF(B108&lt;1501,1,2),IF(A106="TAXI",IF(B108&lt;1501,1,2),IF(A106="AMBULANCE",IF(B105&lt;=400000,1,2),IF(A106="TWO WHEELER",1,IF(A106&lt;&gt;"GOODS CARRYING VEHICLE",IF(B107&lt;=17,1,IF(AND(B107&gt;17,B107&lt;=36),2,3)),IF(B109&lt;=7500,1,IF(AND(B109&gt;7500,B109&lt;=16500),2,3)))))))</f>
        <v>1</v>
      </c>
      <c r="B112" s="964" t="str">
        <f>A106&amp;A112</f>
        <v>PRIVATE CAR1</v>
      </c>
      <c r="C112" s="964"/>
      <c r="D112" s="964"/>
      <c r="E112" s="555">
        <f>VLOOKUP(B112,C90:E102,3,FALSE)</f>
        <v>1000</v>
      </c>
    </row>
    <row r="113" spans="1:4" hidden="1">
      <c r="A113" s="19"/>
      <c r="B113" s="537"/>
      <c r="C113" s="538"/>
      <c r="D113" s="538"/>
    </row>
    <row r="114" spans="1:4" hidden="1">
      <c r="A114" s="19"/>
      <c r="B114" s="537"/>
      <c r="C114" s="538"/>
      <c r="D114" s="538"/>
    </row>
    <row r="115" spans="1:4" hidden="1">
      <c r="A115" s="19"/>
      <c r="B115" s="537"/>
      <c r="C115" s="538"/>
      <c r="D115" s="538"/>
    </row>
    <row r="116" spans="1:4" hidden="1">
      <c r="A116" s="19"/>
      <c r="B116" s="537"/>
      <c r="C116" s="538"/>
      <c r="D116" s="538"/>
    </row>
    <row r="117" spans="1:4" hidden="1">
      <c r="A117" s="19"/>
      <c r="B117" s="537"/>
      <c r="C117" s="538"/>
      <c r="D117" s="538"/>
    </row>
    <row r="118" spans="1:4" hidden="1">
      <c r="A118" s="19" t="s">
        <v>651</v>
      </c>
      <c r="B118" s="537"/>
      <c r="C118" s="538"/>
      <c r="D118" s="538"/>
    </row>
    <row r="119" spans="1:4" hidden="1">
      <c r="A119" s="19" t="s">
        <v>652</v>
      </c>
      <c r="B119" s="537"/>
      <c r="C119" s="538"/>
      <c r="D119" s="538"/>
    </row>
    <row r="120" spans="1:4" hidden="1">
      <c r="A120" s="19" t="s">
        <v>556</v>
      </c>
      <c r="B120" s="537"/>
      <c r="C120" s="538"/>
      <c r="D120" s="538"/>
    </row>
    <row r="121" spans="1:4" hidden="1">
      <c r="A121" s="19" t="s">
        <v>557</v>
      </c>
      <c r="B121" s="537"/>
      <c r="C121" s="538"/>
      <c r="D121" s="538"/>
    </row>
    <row r="122" spans="1:4" hidden="1">
      <c r="A122" s="19" t="s">
        <v>489</v>
      </c>
      <c r="B122" s="537"/>
      <c r="C122" s="538"/>
      <c r="D122" s="538"/>
    </row>
    <row r="123" spans="1:4" hidden="1">
      <c r="A123" s="19" t="s">
        <v>490</v>
      </c>
      <c r="B123" s="537"/>
      <c r="C123" s="538"/>
      <c r="D123" s="538"/>
    </row>
    <row r="124" spans="1:4" hidden="1">
      <c r="A124" s="19" t="s">
        <v>558</v>
      </c>
      <c r="B124" s="537"/>
      <c r="C124" s="538"/>
      <c r="D124" s="538"/>
    </row>
    <row r="125" spans="1:4" hidden="1">
      <c r="A125" s="19" t="s">
        <v>653</v>
      </c>
      <c r="B125" s="537"/>
      <c r="C125" s="538"/>
      <c r="D125" s="538"/>
    </row>
    <row r="126" spans="1:4" hidden="1">
      <c r="A126" s="19" t="s">
        <v>656</v>
      </c>
      <c r="B126" s="537"/>
      <c r="C126" s="538"/>
      <c r="D126" s="538"/>
    </row>
    <row r="127" spans="1:4" hidden="1">
      <c r="A127" s="19" t="s">
        <v>559</v>
      </c>
      <c r="B127" s="537"/>
      <c r="C127" s="538"/>
      <c r="D127" s="538"/>
    </row>
    <row r="128" spans="1:4" hidden="1">
      <c r="A128" s="19" t="s">
        <v>560</v>
      </c>
      <c r="B128" s="537"/>
      <c r="C128" s="538"/>
      <c r="D128" s="538"/>
    </row>
    <row r="129" spans="1:4" hidden="1">
      <c r="A129" s="19" t="s">
        <v>562</v>
      </c>
      <c r="B129" s="537"/>
      <c r="C129" s="538"/>
      <c r="D129" s="538"/>
    </row>
    <row r="130" spans="1:4">
      <c r="A130" s="19"/>
      <c r="B130" s="537"/>
      <c r="C130" s="538"/>
      <c r="D130" s="538"/>
    </row>
    <row r="131" spans="1:4">
      <c r="A131" s="19"/>
      <c r="B131" s="537"/>
      <c r="C131" s="538"/>
      <c r="D131" s="538"/>
    </row>
    <row r="132" spans="1:4">
      <c r="A132" s="19"/>
      <c r="B132" s="537"/>
      <c r="C132" s="538"/>
      <c r="D132" s="538"/>
    </row>
    <row r="133" spans="1:4">
      <c r="A133" s="19"/>
      <c r="B133" s="537"/>
      <c r="C133" s="538"/>
      <c r="D133" s="538"/>
    </row>
    <row r="134" spans="1:4">
      <c r="A134" s="19"/>
      <c r="B134" s="537"/>
      <c r="C134" s="538"/>
      <c r="D134" s="538"/>
    </row>
    <row r="135" spans="1:4">
      <c r="A135" s="19"/>
      <c r="B135" s="537"/>
      <c r="C135" s="538"/>
      <c r="D135" s="538"/>
    </row>
    <row r="136" spans="1:4">
      <c r="A136" s="19"/>
      <c r="B136" s="537"/>
      <c r="C136" s="538"/>
      <c r="D136" s="538"/>
    </row>
    <row r="137" spans="1:4">
      <c r="A137" s="19"/>
      <c r="B137" s="537"/>
      <c r="C137" s="538"/>
      <c r="D137" s="538"/>
    </row>
    <row r="138" spans="1:4">
      <c r="A138" s="19"/>
      <c r="B138" s="537"/>
      <c r="C138" s="538"/>
      <c r="D138" s="538"/>
    </row>
    <row r="139" spans="1:4">
      <c r="A139" s="19"/>
      <c r="B139" s="537"/>
      <c r="C139" s="538"/>
      <c r="D139" s="538"/>
    </row>
    <row r="140" spans="1:4">
      <c r="A140" s="19"/>
      <c r="B140" s="537"/>
      <c r="C140" s="538"/>
      <c r="D140" s="538"/>
    </row>
    <row r="141" spans="1:4">
      <c r="A141" s="19"/>
      <c r="B141" s="537"/>
      <c r="C141" s="538"/>
      <c r="D141" s="538"/>
    </row>
    <row r="142" spans="1:4">
      <c r="A142" s="19"/>
      <c r="B142" s="537"/>
      <c r="C142" s="538"/>
      <c r="D142" s="538"/>
    </row>
    <row r="143" spans="1:4">
      <c r="A143" s="19"/>
      <c r="B143" s="537"/>
      <c r="C143" s="538"/>
      <c r="D143" s="538"/>
    </row>
    <row r="144" spans="1:4">
      <c r="A144" s="19"/>
      <c r="B144" s="537"/>
      <c r="C144" s="538"/>
      <c r="D144" s="538"/>
    </row>
    <row r="145" spans="1:4">
      <c r="A145" s="19"/>
      <c r="B145" s="537"/>
      <c r="C145" s="538"/>
      <c r="D145" s="538"/>
    </row>
    <row r="146" spans="1:4">
      <c r="A146" s="19"/>
      <c r="B146" s="537"/>
      <c r="C146" s="538"/>
      <c r="D146" s="538"/>
    </row>
    <row r="147" spans="1:4">
      <c r="A147" s="19"/>
      <c r="B147" s="537"/>
      <c r="C147" s="538"/>
      <c r="D147" s="538"/>
    </row>
    <row r="148" spans="1:4">
      <c r="A148" s="19"/>
      <c r="B148" s="537"/>
      <c r="C148" s="538"/>
      <c r="D148" s="538"/>
    </row>
    <row r="149" spans="1:4">
      <c r="A149" s="19"/>
      <c r="B149" s="537"/>
      <c r="C149" s="538"/>
      <c r="D149" s="538"/>
    </row>
    <row r="150" spans="1:4">
      <c r="A150" s="19"/>
      <c r="B150" s="537"/>
      <c r="C150" s="538"/>
      <c r="D150" s="538"/>
    </row>
    <row r="151" spans="1:4">
      <c r="A151" s="19"/>
      <c r="B151" s="537"/>
      <c r="C151" s="538"/>
      <c r="D151" s="538"/>
    </row>
    <row r="152" spans="1:4">
      <c r="A152" s="19"/>
      <c r="B152" s="537"/>
      <c r="C152" s="538"/>
      <c r="D152" s="538"/>
    </row>
    <row r="153" spans="1:4">
      <c r="A153" s="19"/>
      <c r="B153" s="537"/>
      <c r="C153" s="538"/>
      <c r="D153" s="538"/>
    </row>
    <row r="154" spans="1:4">
      <c r="A154" s="19"/>
      <c r="B154" s="537"/>
      <c r="C154" s="538"/>
      <c r="D154" s="538"/>
    </row>
    <row r="155" spans="1:4">
      <c r="A155" s="19"/>
      <c r="B155" s="537"/>
      <c r="C155" s="538"/>
      <c r="D155" s="538"/>
    </row>
    <row r="156" spans="1:4">
      <c r="A156" s="19"/>
      <c r="B156" s="537"/>
      <c r="C156" s="538"/>
      <c r="D156" s="538"/>
    </row>
    <row r="157" spans="1:4">
      <c r="A157" s="19"/>
      <c r="B157" s="537"/>
      <c r="C157" s="538"/>
      <c r="D157" s="538"/>
    </row>
    <row r="158" spans="1:4">
      <c r="A158" s="19"/>
      <c r="B158" s="537"/>
      <c r="C158" s="538"/>
      <c r="D158" s="538"/>
    </row>
    <row r="159" spans="1:4">
      <c r="A159" s="19"/>
      <c r="B159" s="537"/>
      <c r="C159" s="538"/>
      <c r="D159" s="538"/>
    </row>
    <row r="160" spans="1:4">
      <c r="A160" s="19"/>
      <c r="B160" s="537"/>
      <c r="C160" s="538"/>
      <c r="D160" s="538"/>
    </row>
    <row r="161" spans="1:4">
      <c r="A161" s="19"/>
      <c r="B161" s="537"/>
      <c r="C161" s="538"/>
      <c r="D161" s="538"/>
    </row>
    <row r="162" spans="1:4">
      <c r="A162" s="19"/>
      <c r="B162" s="537"/>
      <c r="C162" s="538"/>
      <c r="D162" s="538"/>
    </row>
    <row r="163" spans="1:4">
      <c r="A163" s="19"/>
      <c r="B163" s="537"/>
      <c r="C163" s="538"/>
      <c r="D163" s="538"/>
    </row>
    <row r="164" spans="1:4">
      <c r="A164" s="19"/>
      <c r="B164" s="537"/>
      <c r="C164" s="538"/>
      <c r="D164" s="538"/>
    </row>
    <row r="165" spans="1:4">
      <c r="A165" s="19"/>
      <c r="B165" s="537"/>
      <c r="C165" s="538"/>
      <c r="D165" s="538"/>
    </row>
    <row r="166" spans="1:4">
      <c r="A166" s="19"/>
      <c r="B166" s="537"/>
      <c r="C166" s="538"/>
      <c r="D166" s="538"/>
    </row>
    <row r="167" spans="1:4">
      <c r="A167" s="19"/>
      <c r="B167" s="537"/>
      <c r="C167" s="538"/>
      <c r="D167" s="538"/>
    </row>
    <row r="168" spans="1:4">
      <c r="A168" s="19"/>
      <c r="B168" s="537"/>
      <c r="C168" s="538"/>
      <c r="D168" s="538"/>
    </row>
    <row r="169" spans="1:4">
      <c r="A169" s="19"/>
      <c r="B169" s="556"/>
      <c r="C169" s="543"/>
      <c r="D169" s="543"/>
    </row>
    <row r="170" spans="1:4">
      <c r="A170" s="19"/>
      <c r="B170" s="556"/>
      <c r="C170" s="543"/>
      <c r="D170" s="543"/>
    </row>
    <row r="171" spans="1:4">
      <c r="A171" s="19"/>
      <c r="B171" s="556"/>
      <c r="C171" s="543"/>
      <c r="D171" s="543"/>
    </row>
    <row r="172" spans="1:4">
      <c r="A172" s="19"/>
      <c r="B172" s="556"/>
      <c r="C172" s="543"/>
      <c r="D172" s="543"/>
    </row>
    <row r="173" spans="1:4">
      <c r="A173" s="19"/>
      <c r="B173" s="556"/>
      <c r="C173" s="543"/>
      <c r="D173" s="543"/>
    </row>
    <row r="174" spans="1:4">
      <c r="A174" s="19"/>
      <c r="B174" s="556"/>
      <c r="C174" s="543"/>
      <c r="D174" s="543"/>
    </row>
    <row r="175" spans="1:4">
      <c r="A175" s="19"/>
      <c r="B175" s="556"/>
      <c r="C175" s="543"/>
      <c r="D175" s="543"/>
    </row>
    <row r="176" spans="1:4">
      <c r="A176" s="19"/>
      <c r="B176" s="556"/>
      <c r="C176" s="543"/>
      <c r="D176" s="543"/>
    </row>
    <row r="177" spans="1:4">
      <c r="A177" s="19"/>
      <c r="B177" s="556"/>
      <c r="C177" s="543"/>
      <c r="D177" s="543"/>
    </row>
    <row r="178" spans="1:4">
      <c r="A178" s="19"/>
      <c r="B178" s="556"/>
      <c r="C178" s="543"/>
      <c r="D178" s="543"/>
    </row>
    <row r="179" spans="1:4">
      <c r="A179" s="19"/>
      <c r="B179" s="556"/>
      <c r="C179" s="543"/>
      <c r="D179" s="543"/>
    </row>
    <row r="180" spans="1:4">
      <c r="A180" s="19"/>
      <c r="B180" s="556"/>
      <c r="C180" s="543"/>
      <c r="D180" s="543"/>
    </row>
    <row r="181" spans="1:4">
      <c r="A181" s="19"/>
      <c r="B181" s="556"/>
      <c r="C181" s="543"/>
      <c r="D181" s="543"/>
    </row>
    <row r="182" spans="1:4">
      <c r="A182" s="19"/>
      <c r="B182" s="556"/>
      <c r="C182" s="543"/>
      <c r="D182" s="543"/>
    </row>
    <row r="183" spans="1:4">
      <c r="A183" s="19"/>
      <c r="B183" s="556"/>
      <c r="C183" s="543"/>
      <c r="D183" s="543"/>
    </row>
    <row r="184" spans="1:4">
      <c r="A184" s="19"/>
      <c r="B184" s="556"/>
      <c r="C184" s="543"/>
      <c r="D184" s="543"/>
    </row>
    <row r="185" spans="1:4">
      <c r="A185" s="19"/>
      <c r="B185" s="556"/>
      <c r="C185" s="543"/>
      <c r="D185" s="543"/>
    </row>
    <row r="186" spans="1:4">
      <c r="A186" s="19"/>
      <c r="B186" s="556"/>
      <c r="C186" s="543"/>
      <c r="D186" s="543"/>
    </row>
    <row r="187" spans="1:4">
      <c r="A187" s="19"/>
      <c r="B187" s="556"/>
      <c r="C187" s="543"/>
      <c r="D187" s="543"/>
    </row>
    <row r="188" spans="1:4">
      <c r="A188" s="19"/>
      <c r="B188" s="556"/>
      <c r="C188" s="543"/>
      <c r="D188" s="543"/>
    </row>
    <row r="189" spans="1:4">
      <c r="A189" s="19"/>
      <c r="B189" s="556"/>
      <c r="C189" s="543"/>
      <c r="D189" s="543"/>
    </row>
    <row r="190" spans="1:4">
      <c r="A190" s="19"/>
      <c r="B190" s="556"/>
      <c r="C190" s="543"/>
      <c r="D190" s="543"/>
    </row>
    <row r="191" spans="1:4">
      <c r="A191" s="19"/>
      <c r="B191" s="556"/>
      <c r="C191" s="543"/>
      <c r="D191" s="543"/>
    </row>
    <row r="192" spans="1:4">
      <c r="A192" s="19"/>
      <c r="B192" s="556"/>
      <c r="C192" s="543"/>
      <c r="D192" s="543"/>
    </row>
    <row r="193" spans="1:4">
      <c r="A193" s="19"/>
      <c r="B193" s="556"/>
      <c r="C193" s="543"/>
      <c r="D193" s="543"/>
    </row>
    <row r="194" spans="1:4">
      <c r="A194" s="19"/>
      <c r="B194" s="556"/>
      <c r="C194" s="543"/>
      <c r="D194" s="543"/>
    </row>
    <row r="195" spans="1:4">
      <c r="A195" s="19"/>
      <c r="B195" s="556"/>
      <c r="C195" s="543"/>
      <c r="D195" s="543"/>
    </row>
    <row r="196" spans="1:4">
      <c r="A196" s="19"/>
      <c r="B196" s="556"/>
      <c r="C196" s="543"/>
      <c r="D196" s="543"/>
    </row>
    <row r="197" spans="1:4">
      <c r="A197" s="19"/>
      <c r="B197" s="556"/>
      <c r="C197" s="543"/>
      <c r="D197" s="543"/>
    </row>
    <row r="198" spans="1:4">
      <c r="A198" s="19"/>
      <c r="B198" s="556"/>
      <c r="C198" s="543"/>
      <c r="D198" s="543"/>
    </row>
    <row r="199" spans="1:4">
      <c r="A199" s="19"/>
      <c r="B199" s="556"/>
      <c r="C199" s="543"/>
      <c r="D199" s="543"/>
    </row>
    <row r="200" spans="1:4">
      <c r="A200" s="19"/>
      <c r="B200" s="556"/>
      <c r="C200" s="543"/>
      <c r="D200" s="543"/>
    </row>
    <row r="201" spans="1:4">
      <c r="A201" s="19"/>
      <c r="B201" s="556"/>
      <c r="C201" s="543"/>
      <c r="D201" s="543"/>
    </row>
    <row r="202" spans="1:4">
      <c r="A202" s="19"/>
      <c r="B202" s="556"/>
      <c r="C202" s="543"/>
      <c r="D202" s="543"/>
    </row>
    <row r="203" spans="1:4">
      <c r="A203" s="19"/>
      <c r="B203" s="556"/>
      <c r="C203" s="543"/>
      <c r="D203" s="543"/>
    </row>
    <row r="204" spans="1:4">
      <c r="A204" s="19"/>
      <c r="B204" s="556"/>
      <c r="C204" s="543"/>
      <c r="D204" s="543"/>
    </row>
    <row r="205" spans="1:4">
      <c r="A205" s="19"/>
      <c r="B205" s="556"/>
      <c r="C205" s="543"/>
      <c r="D205" s="543"/>
    </row>
    <row r="206" spans="1:4">
      <c r="A206" s="19"/>
      <c r="B206" s="556"/>
      <c r="C206" s="543"/>
      <c r="D206" s="543"/>
    </row>
    <row r="207" spans="1:4">
      <c r="A207" s="19"/>
      <c r="B207" s="556"/>
      <c r="C207" s="543"/>
      <c r="D207" s="543"/>
    </row>
    <row r="208" spans="1:4">
      <c r="A208" s="19"/>
      <c r="B208" s="556"/>
      <c r="C208" s="543"/>
      <c r="D208" s="543"/>
    </row>
    <row r="209" spans="1:4">
      <c r="A209" s="19"/>
      <c r="B209" s="556"/>
      <c r="C209" s="543"/>
      <c r="D209" s="543"/>
    </row>
    <row r="210" spans="1:4">
      <c r="A210" s="19"/>
      <c r="B210" s="556"/>
      <c r="C210" s="543"/>
      <c r="D210" s="543"/>
    </row>
    <row r="211" spans="1:4">
      <c r="A211" s="19"/>
      <c r="B211" s="556"/>
      <c r="C211" s="543"/>
      <c r="D211" s="543"/>
    </row>
    <row r="212" spans="1:4">
      <c r="A212" s="19"/>
      <c r="B212" s="556"/>
      <c r="C212" s="543"/>
      <c r="D212" s="543"/>
    </row>
    <row r="213" spans="1:4">
      <c r="A213" s="19"/>
      <c r="B213" s="556"/>
      <c r="C213" s="543"/>
      <c r="D213" s="543"/>
    </row>
    <row r="214" spans="1:4">
      <c r="A214" s="19"/>
      <c r="B214" s="556"/>
      <c r="C214" s="543"/>
      <c r="D214" s="543"/>
    </row>
    <row r="215" spans="1:4">
      <c r="A215" s="19"/>
      <c r="B215" s="556"/>
      <c r="C215" s="543"/>
      <c r="D215" s="543"/>
    </row>
    <row r="216" spans="1:4">
      <c r="A216" s="19"/>
      <c r="B216" s="556"/>
      <c r="C216" s="543"/>
      <c r="D216" s="543"/>
    </row>
    <row r="217" spans="1:4">
      <c r="A217" s="19"/>
      <c r="B217" s="556"/>
      <c r="C217" s="543"/>
      <c r="D217" s="543"/>
    </row>
    <row r="218" spans="1:4">
      <c r="A218" s="19"/>
      <c r="B218" s="556"/>
      <c r="C218" s="543"/>
      <c r="D218" s="543"/>
    </row>
    <row r="219" spans="1:4">
      <c r="A219" s="19"/>
      <c r="B219" s="556"/>
      <c r="C219" s="543"/>
      <c r="D219" s="543"/>
    </row>
    <row r="220" spans="1:4">
      <c r="A220" s="19"/>
      <c r="B220" s="556"/>
      <c r="C220" s="543"/>
      <c r="D220" s="543"/>
    </row>
    <row r="221" spans="1:4">
      <c r="A221" s="19"/>
      <c r="B221" s="556"/>
      <c r="C221" s="543"/>
      <c r="D221" s="543"/>
    </row>
    <row r="222" spans="1:4">
      <c r="A222" s="19"/>
      <c r="B222" s="556"/>
      <c r="C222" s="543"/>
      <c r="D222" s="543"/>
    </row>
    <row r="223" spans="1:4">
      <c r="A223" s="19"/>
      <c r="B223" s="556"/>
      <c r="C223" s="543"/>
      <c r="D223" s="543"/>
    </row>
    <row r="224" spans="1:4">
      <c r="A224" s="19"/>
      <c r="B224" s="556"/>
      <c r="C224" s="543"/>
      <c r="D224" s="543"/>
    </row>
    <row r="225" spans="1:4">
      <c r="A225" s="19"/>
      <c r="B225" s="556"/>
      <c r="C225" s="543"/>
      <c r="D225" s="543"/>
    </row>
    <row r="226" spans="1:4">
      <c r="A226" s="19"/>
      <c r="B226" s="556"/>
      <c r="C226" s="543"/>
      <c r="D226" s="543"/>
    </row>
    <row r="227" spans="1:4">
      <c r="A227" s="19"/>
      <c r="B227" s="556"/>
      <c r="C227" s="543"/>
      <c r="D227" s="543"/>
    </row>
    <row r="228" spans="1:4">
      <c r="A228" s="19"/>
      <c r="B228" s="556"/>
      <c r="C228" s="543"/>
      <c r="D228" s="543"/>
    </row>
    <row r="229" spans="1:4">
      <c r="A229" s="19"/>
      <c r="B229" s="556"/>
      <c r="C229" s="543"/>
      <c r="D229" s="543"/>
    </row>
    <row r="230" spans="1:4">
      <c r="A230" s="19"/>
      <c r="B230" s="556"/>
      <c r="C230" s="543"/>
      <c r="D230" s="543"/>
    </row>
    <row r="231" spans="1:4">
      <c r="A231" s="19"/>
      <c r="B231" s="556"/>
      <c r="C231" s="543"/>
      <c r="D231" s="543"/>
    </row>
    <row r="232" spans="1:4">
      <c r="A232" s="19"/>
      <c r="B232" s="556"/>
      <c r="C232" s="543"/>
      <c r="D232" s="543"/>
    </row>
    <row r="233" spans="1:4">
      <c r="A233" s="19"/>
      <c r="B233" s="556"/>
      <c r="C233" s="543"/>
      <c r="D233" s="543"/>
    </row>
    <row r="234" spans="1:4">
      <c r="A234" s="19"/>
      <c r="B234" s="556"/>
      <c r="C234" s="543"/>
      <c r="D234" s="543"/>
    </row>
    <row r="235" spans="1:4">
      <c r="A235" s="19"/>
      <c r="B235" s="556"/>
      <c r="C235" s="543"/>
      <c r="D235" s="543"/>
    </row>
    <row r="236" spans="1:4">
      <c r="A236" s="19"/>
      <c r="B236" s="556"/>
      <c r="C236" s="543"/>
      <c r="D236" s="543"/>
    </row>
    <row r="237" spans="1:4">
      <c r="A237" s="19"/>
      <c r="B237" s="556"/>
      <c r="C237" s="543"/>
      <c r="D237" s="543"/>
    </row>
    <row r="238" spans="1:4">
      <c r="A238" s="19"/>
      <c r="B238" s="556"/>
      <c r="C238" s="543"/>
      <c r="D238" s="543"/>
    </row>
    <row r="239" spans="1:4">
      <c r="A239" s="19"/>
      <c r="B239" s="556"/>
      <c r="C239" s="543"/>
      <c r="D239" s="543"/>
    </row>
    <row r="240" spans="1:4">
      <c r="A240" s="19"/>
      <c r="B240" s="556"/>
      <c r="C240" s="543"/>
      <c r="D240" s="543"/>
    </row>
    <row r="241" spans="1:4">
      <c r="A241" s="19"/>
      <c r="B241" s="556"/>
      <c r="C241" s="543"/>
      <c r="D241" s="543"/>
    </row>
    <row r="242" spans="1:4">
      <c r="A242" s="19"/>
      <c r="B242" s="556"/>
      <c r="C242" s="543"/>
      <c r="D242" s="543"/>
    </row>
    <row r="243" spans="1:4">
      <c r="A243" s="19"/>
      <c r="B243" s="556"/>
      <c r="C243" s="543"/>
      <c r="D243" s="543"/>
    </row>
    <row r="244" spans="1:4">
      <c r="A244" s="19"/>
      <c r="B244" s="556"/>
      <c r="C244" s="543"/>
      <c r="D244" s="543"/>
    </row>
    <row r="245" spans="1:4">
      <c r="A245" s="19"/>
      <c r="B245" s="556"/>
      <c r="C245" s="543"/>
      <c r="D245" s="543"/>
    </row>
    <row r="246" spans="1:4">
      <c r="A246" s="19"/>
      <c r="B246" s="556"/>
      <c r="C246" s="543"/>
      <c r="D246" s="543"/>
    </row>
    <row r="247" spans="1:4">
      <c r="A247" s="19"/>
      <c r="B247" s="556"/>
      <c r="C247" s="543"/>
      <c r="D247" s="543"/>
    </row>
    <row r="248" spans="1:4">
      <c r="A248" s="19"/>
      <c r="B248" s="556"/>
      <c r="C248" s="543"/>
      <c r="D248" s="543"/>
    </row>
    <row r="249" spans="1:4">
      <c r="A249" s="19"/>
      <c r="B249" s="556"/>
      <c r="C249" s="543"/>
      <c r="D249" s="543"/>
    </row>
    <row r="250" spans="1:4">
      <c r="A250" s="19"/>
      <c r="B250" s="556"/>
      <c r="C250" s="543"/>
      <c r="D250" s="543"/>
    </row>
    <row r="251" spans="1:4">
      <c r="A251" s="19"/>
      <c r="B251" s="556"/>
      <c r="C251" s="543"/>
      <c r="D251" s="543"/>
    </row>
    <row r="252" spans="1:4">
      <c r="A252" s="19"/>
      <c r="B252" s="556"/>
      <c r="C252" s="543"/>
      <c r="D252" s="543"/>
    </row>
    <row r="253" spans="1:4">
      <c r="A253" s="19"/>
      <c r="B253" s="556"/>
      <c r="C253" s="543"/>
      <c r="D253" s="543"/>
    </row>
    <row r="254" spans="1:4">
      <c r="A254" s="19"/>
      <c r="B254" s="556"/>
      <c r="C254" s="543"/>
      <c r="D254" s="543"/>
    </row>
    <row r="255" spans="1:4">
      <c r="A255" s="19"/>
      <c r="B255" s="556"/>
      <c r="C255" s="543"/>
      <c r="D255" s="543"/>
    </row>
    <row r="256" spans="1:4">
      <c r="A256" s="19"/>
      <c r="B256" s="556"/>
      <c r="C256" s="543"/>
      <c r="D256" s="543"/>
    </row>
    <row r="257" spans="1:4">
      <c r="A257" s="19"/>
      <c r="B257" s="556"/>
      <c r="C257" s="543"/>
      <c r="D257" s="543"/>
    </row>
    <row r="258" spans="1:4">
      <c r="A258" s="19"/>
      <c r="B258" s="556"/>
      <c r="C258" s="543"/>
      <c r="D258" s="543"/>
    </row>
    <row r="259" spans="1:4">
      <c r="A259" s="19"/>
      <c r="B259" s="556"/>
      <c r="C259" s="543"/>
      <c r="D259" s="543"/>
    </row>
    <row r="260" spans="1:4">
      <c r="A260" s="19"/>
      <c r="B260" s="556"/>
      <c r="C260" s="543"/>
      <c r="D260" s="543"/>
    </row>
    <row r="261" spans="1:4">
      <c r="A261" s="19"/>
      <c r="B261" s="556"/>
      <c r="C261" s="543"/>
      <c r="D261" s="543"/>
    </row>
    <row r="262" spans="1:4">
      <c r="A262" s="19"/>
      <c r="B262" s="556"/>
      <c r="C262" s="543"/>
      <c r="D262" s="543"/>
    </row>
    <row r="263" spans="1:4">
      <c r="A263" s="19"/>
      <c r="B263" s="556"/>
      <c r="C263" s="543"/>
      <c r="D263" s="543"/>
    </row>
    <row r="264" spans="1:4">
      <c r="A264" s="19"/>
      <c r="B264" s="556"/>
      <c r="C264" s="543"/>
      <c r="D264" s="543"/>
    </row>
    <row r="265" spans="1:4">
      <c r="A265" s="19"/>
      <c r="B265" s="556"/>
      <c r="C265" s="543"/>
      <c r="D265" s="543"/>
    </row>
    <row r="266" spans="1:4">
      <c r="A266" s="19"/>
      <c r="B266" s="556"/>
      <c r="C266" s="543"/>
      <c r="D266" s="543"/>
    </row>
    <row r="267" spans="1:4">
      <c r="A267" s="19"/>
      <c r="B267" s="556"/>
      <c r="C267" s="543"/>
      <c r="D267" s="543"/>
    </row>
    <row r="268" spans="1:4">
      <c r="A268" s="19"/>
      <c r="B268" s="556"/>
      <c r="C268" s="543"/>
      <c r="D268" s="543"/>
    </row>
    <row r="269" spans="1:4">
      <c r="A269" s="19"/>
      <c r="B269" s="556"/>
      <c r="C269" s="543"/>
      <c r="D269" s="543"/>
    </row>
    <row r="270" spans="1:4">
      <c r="A270" s="19"/>
      <c r="B270" s="556"/>
      <c r="C270" s="543"/>
      <c r="D270" s="543"/>
    </row>
    <row r="271" spans="1:4">
      <c r="A271" s="19"/>
      <c r="B271" s="556"/>
      <c r="C271" s="543"/>
      <c r="D271" s="543"/>
    </row>
    <row r="272" spans="1:4">
      <c r="A272" s="19"/>
      <c r="B272" s="556"/>
      <c r="C272" s="543"/>
      <c r="D272" s="543"/>
    </row>
    <row r="273" spans="1:4">
      <c r="A273" s="19"/>
      <c r="B273" s="556"/>
      <c r="C273" s="543"/>
      <c r="D273" s="543"/>
    </row>
    <row r="274" spans="1:4">
      <c r="A274" s="19"/>
      <c r="B274" s="556"/>
      <c r="C274" s="543"/>
      <c r="D274" s="543"/>
    </row>
    <row r="275" spans="1:4">
      <c r="A275" s="19"/>
      <c r="B275" s="556"/>
      <c r="C275" s="543"/>
      <c r="D275" s="543"/>
    </row>
    <row r="276" spans="1:4">
      <c r="A276" s="19"/>
      <c r="B276" s="556"/>
      <c r="C276" s="543"/>
      <c r="D276" s="543"/>
    </row>
    <row r="277" spans="1:4">
      <c r="A277" s="19"/>
      <c r="B277" s="556"/>
      <c r="C277" s="543"/>
      <c r="D277" s="543"/>
    </row>
    <row r="278" spans="1:4">
      <c r="A278" s="19"/>
      <c r="B278" s="556"/>
      <c r="C278" s="543"/>
      <c r="D278" s="543"/>
    </row>
    <row r="279" spans="1:4">
      <c r="A279" s="19"/>
      <c r="B279" s="556"/>
      <c r="C279" s="543"/>
      <c r="D279" s="543"/>
    </row>
    <row r="280" spans="1:4">
      <c r="A280" s="19"/>
      <c r="B280" s="556"/>
      <c r="C280" s="543"/>
      <c r="D280" s="543"/>
    </row>
    <row r="281" spans="1:4">
      <c r="A281" s="19"/>
      <c r="B281" s="556"/>
      <c r="C281" s="543"/>
      <c r="D281" s="543"/>
    </row>
    <row r="282" spans="1:4">
      <c r="A282" s="19"/>
      <c r="B282" s="556"/>
      <c r="C282" s="543"/>
      <c r="D282" s="543"/>
    </row>
    <row r="283" spans="1:4">
      <c r="A283" s="19"/>
      <c r="B283" s="556"/>
      <c r="C283" s="543"/>
      <c r="D283" s="543"/>
    </row>
    <row r="284" spans="1:4">
      <c r="A284" s="19"/>
      <c r="B284" s="556"/>
      <c r="C284" s="543"/>
      <c r="D284" s="543"/>
    </row>
    <row r="285" spans="1:4">
      <c r="A285" s="19"/>
      <c r="B285" s="556"/>
      <c r="C285" s="543"/>
      <c r="D285" s="543"/>
    </row>
    <row r="286" spans="1:4">
      <c r="A286" s="19"/>
      <c r="B286" s="556"/>
      <c r="C286" s="543"/>
      <c r="D286" s="543"/>
    </row>
    <row r="287" spans="1:4">
      <c r="A287" s="19"/>
      <c r="B287" s="556"/>
      <c r="C287" s="543"/>
      <c r="D287" s="543"/>
    </row>
    <row r="288" spans="1:4">
      <c r="A288" s="19"/>
      <c r="B288" s="556"/>
      <c r="C288" s="543"/>
      <c r="D288" s="543"/>
    </row>
    <row r="289" spans="1:4">
      <c r="A289" s="19"/>
      <c r="B289" s="556"/>
      <c r="C289" s="543"/>
      <c r="D289" s="543"/>
    </row>
    <row r="290" spans="1:4">
      <c r="A290" s="19"/>
      <c r="B290" s="556"/>
      <c r="C290" s="543"/>
      <c r="D290" s="543"/>
    </row>
    <row r="291" spans="1:4">
      <c r="A291" s="19"/>
      <c r="B291" s="556"/>
      <c r="C291" s="543"/>
      <c r="D291" s="543"/>
    </row>
    <row r="292" spans="1:4">
      <c r="A292" s="19"/>
      <c r="B292" s="556"/>
      <c r="C292" s="543"/>
      <c r="D292" s="543"/>
    </row>
    <row r="293" spans="1:4">
      <c r="A293" s="19"/>
      <c r="B293" s="556"/>
      <c r="C293" s="543"/>
      <c r="D293" s="543"/>
    </row>
    <row r="294" spans="1:4">
      <c r="A294" s="19"/>
      <c r="B294" s="556"/>
      <c r="C294" s="543"/>
      <c r="D294" s="543"/>
    </row>
    <row r="295" spans="1:4">
      <c r="A295" s="19"/>
      <c r="B295" s="556"/>
      <c r="C295" s="543"/>
      <c r="D295" s="543"/>
    </row>
    <row r="296" spans="1:4">
      <c r="A296" s="19"/>
      <c r="B296" s="556"/>
      <c r="C296" s="543"/>
      <c r="D296" s="543"/>
    </row>
    <row r="297" spans="1:4">
      <c r="A297" s="19"/>
      <c r="B297" s="556"/>
      <c r="C297" s="543"/>
      <c r="D297" s="543"/>
    </row>
    <row r="298" spans="1:4">
      <c r="A298" s="19"/>
      <c r="B298" s="556"/>
      <c r="C298" s="543"/>
      <c r="D298" s="543"/>
    </row>
    <row r="299" spans="1:4">
      <c r="A299" s="19"/>
      <c r="B299" s="556"/>
      <c r="C299" s="543"/>
      <c r="D299" s="543"/>
    </row>
    <row r="300" spans="1:4">
      <c r="A300" s="19"/>
      <c r="B300" s="556"/>
      <c r="C300" s="543"/>
      <c r="D300" s="543"/>
    </row>
    <row r="301" spans="1:4">
      <c r="A301" s="19"/>
      <c r="B301" s="556"/>
      <c r="C301" s="543"/>
      <c r="D301" s="543"/>
    </row>
    <row r="302" spans="1:4">
      <c r="A302" s="19"/>
      <c r="B302" s="556"/>
      <c r="C302" s="543"/>
      <c r="D302" s="543"/>
    </row>
    <row r="303" spans="1:4">
      <c r="A303" s="19"/>
      <c r="B303" s="556"/>
      <c r="C303" s="543"/>
      <c r="D303" s="543"/>
    </row>
    <row r="304" spans="1:4">
      <c r="A304" s="19"/>
      <c r="B304" s="556"/>
      <c r="C304" s="543"/>
      <c r="D304" s="543"/>
    </row>
    <row r="305" spans="1:4">
      <c r="A305" s="19"/>
      <c r="B305" s="556"/>
      <c r="C305" s="543"/>
      <c r="D305" s="543"/>
    </row>
    <row r="306" spans="1:4">
      <c r="A306" s="19"/>
      <c r="B306" s="556"/>
      <c r="C306" s="543"/>
      <c r="D306" s="543"/>
    </row>
    <row r="307" spans="1:4">
      <c r="A307" s="19"/>
      <c r="B307" s="556"/>
      <c r="C307" s="543"/>
      <c r="D307" s="543"/>
    </row>
    <row r="308" spans="1:4">
      <c r="A308" s="19"/>
      <c r="B308" s="556"/>
      <c r="C308" s="543"/>
      <c r="D308" s="543"/>
    </row>
    <row r="309" spans="1:4">
      <c r="A309" s="19"/>
      <c r="B309" s="556"/>
      <c r="C309" s="543"/>
      <c r="D309" s="543"/>
    </row>
    <row r="310" spans="1:4">
      <c r="A310" s="19"/>
      <c r="B310" s="556"/>
      <c r="C310" s="543"/>
      <c r="D310" s="543"/>
    </row>
    <row r="311" spans="1:4">
      <c r="A311" s="19"/>
      <c r="B311" s="556"/>
      <c r="C311" s="543"/>
      <c r="D311" s="543"/>
    </row>
    <row r="312" spans="1:4">
      <c r="A312" s="19"/>
      <c r="B312" s="556"/>
      <c r="C312" s="543"/>
      <c r="D312" s="543"/>
    </row>
    <row r="313" spans="1:4">
      <c r="A313" s="19"/>
      <c r="B313" s="556"/>
      <c r="C313" s="543"/>
      <c r="D313" s="543"/>
    </row>
    <row r="314" spans="1:4">
      <c r="A314" s="19"/>
      <c r="B314" s="556"/>
      <c r="C314" s="543"/>
      <c r="D314" s="543"/>
    </row>
    <row r="315" spans="1:4">
      <c r="A315" s="19"/>
      <c r="B315" s="556"/>
      <c r="C315" s="543"/>
      <c r="D315" s="543"/>
    </row>
  </sheetData>
  <sheetProtection formatCells="0" formatColumns="0" formatRows="0" insertColumns="0" insertRows="0" insertHyperlinks="0" deleteColumns="0" deleteRows="0" sort="0" autoFilter="0" pivotTables="0"/>
  <customSheetViews>
    <customSheetView guid="{90D8D907-8142-40B5-8083-592E26272F1C}">
      <selection activeCell="J1" sqref="J1"/>
      <pageMargins left="0.7" right="0.7" top="0.75" bottom="0.75" header="0.3" footer="0.3"/>
      <pageSetup orientation="portrait" r:id="rId1"/>
    </customSheetView>
  </customSheetViews>
  <mergeCells count="104">
    <mergeCell ref="B16:D16"/>
    <mergeCell ref="A17:D17"/>
    <mergeCell ref="B18:D18"/>
    <mergeCell ref="B19:D19"/>
    <mergeCell ref="B43:D43"/>
    <mergeCell ref="B45:D45"/>
    <mergeCell ref="B20:D20"/>
    <mergeCell ref="B61:D62"/>
    <mergeCell ref="A46:A48"/>
    <mergeCell ref="B46:D48"/>
    <mergeCell ref="B40:D40"/>
    <mergeCell ref="B54:D54"/>
    <mergeCell ref="B39:D39"/>
    <mergeCell ref="B58:D58"/>
    <mergeCell ref="B23:D23"/>
    <mergeCell ref="B24:D24"/>
    <mergeCell ref="B22:D22"/>
    <mergeCell ref="A59:D59"/>
    <mergeCell ref="B60:D60"/>
    <mergeCell ref="B55:D55"/>
    <mergeCell ref="B57:D57"/>
    <mergeCell ref="B49:D49"/>
    <mergeCell ref="B51:D51"/>
    <mergeCell ref="C35:D35"/>
    <mergeCell ref="B112:D112"/>
    <mergeCell ref="A104:B104"/>
    <mergeCell ref="A89:F89"/>
    <mergeCell ref="B31:C31"/>
    <mergeCell ref="B32:D32"/>
    <mergeCell ref="A61:A62"/>
    <mergeCell ref="B56:D56"/>
    <mergeCell ref="B65:D65"/>
    <mergeCell ref="B66:D66"/>
    <mergeCell ref="F44:H44"/>
    <mergeCell ref="F45:H45"/>
    <mergeCell ref="F31:H31"/>
    <mergeCell ref="B72:D72"/>
    <mergeCell ref="B70:D70"/>
    <mergeCell ref="B63:D63"/>
    <mergeCell ref="A37:D37"/>
    <mergeCell ref="B111:D111"/>
    <mergeCell ref="B73:D73"/>
    <mergeCell ref="B67:D67"/>
    <mergeCell ref="F81:H82"/>
    <mergeCell ref="A75:B75"/>
    <mergeCell ref="B34:D34"/>
    <mergeCell ref="B33:D33"/>
    <mergeCell ref="B71:D71"/>
    <mergeCell ref="B30:C30"/>
    <mergeCell ref="A52:D52"/>
    <mergeCell ref="B25:D25"/>
    <mergeCell ref="B36:D36"/>
    <mergeCell ref="C38:D38"/>
    <mergeCell ref="B29:D29"/>
    <mergeCell ref="B53:D53"/>
    <mergeCell ref="B41:D41"/>
    <mergeCell ref="B42:D42"/>
    <mergeCell ref="B64:D64"/>
    <mergeCell ref="B68:D68"/>
    <mergeCell ref="B44:D44"/>
    <mergeCell ref="F16:H16"/>
    <mergeCell ref="F36:H36"/>
    <mergeCell ref="F32:H32"/>
    <mergeCell ref="F2:G2"/>
    <mergeCell ref="H2:I2"/>
    <mergeCell ref="F6:G6"/>
    <mergeCell ref="H6:I6"/>
    <mergeCell ref="F18:L21"/>
    <mergeCell ref="J10:M10"/>
    <mergeCell ref="F12:I12"/>
    <mergeCell ref="F17:H17"/>
    <mergeCell ref="G10:H10"/>
    <mergeCell ref="H7:I7"/>
    <mergeCell ref="F24:H24"/>
    <mergeCell ref="F25:H25"/>
    <mergeCell ref="F27:H27"/>
    <mergeCell ref="F28:H28"/>
    <mergeCell ref="F29:H29"/>
    <mergeCell ref="F26:H26"/>
    <mergeCell ref="B21:D21"/>
    <mergeCell ref="B50:D50"/>
    <mergeCell ref="A1:D1"/>
    <mergeCell ref="B3:D3"/>
    <mergeCell ref="B4:D4"/>
    <mergeCell ref="F15:H15"/>
    <mergeCell ref="F11:I11"/>
    <mergeCell ref="F3:G3"/>
    <mergeCell ref="B13:D13"/>
    <mergeCell ref="B5:D5"/>
    <mergeCell ref="B8:D8"/>
    <mergeCell ref="B7:D7"/>
    <mergeCell ref="B6:D6"/>
    <mergeCell ref="H3:I3"/>
    <mergeCell ref="F5:G5"/>
    <mergeCell ref="H5:I5"/>
    <mergeCell ref="F7:G7"/>
    <mergeCell ref="H1:I1"/>
    <mergeCell ref="F1:G1"/>
    <mergeCell ref="B2:D2"/>
    <mergeCell ref="B12:D12"/>
    <mergeCell ref="B9:D9"/>
    <mergeCell ref="B11:D11"/>
    <mergeCell ref="B14:D14"/>
    <mergeCell ref="B15:D15"/>
  </mergeCells>
  <conditionalFormatting sqref="C38:D38">
    <cfRule type="expression" dxfId="15" priority="3">
      <formula>AND($C$38="Close Proximity Claim")</formula>
    </cfRule>
  </conditionalFormatting>
  <conditionalFormatting sqref="G10">
    <cfRule type="expression" dxfId="14" priority="2">
      <formula>AND($G$10="Break Insurance")</formula>
    </cfRule>
  </conditionalFormatting>
  <conditionalFormatting sqref="B38">
    <cfRule type="expression" dxfId="13" priority="1">
      <formula>NOT(AND($B$38&gt;=$B$10,$B$38&lt;=$D$10))</formula>
    </cfRule>
  </conditionalFormatting>
  <dataValidations xWindow="1511" yWindow="248" count="14">
    <dataValidation type="whole" operator="lessThanOrEqual" allowBlank="1" showInputMessage="1" showErrorMessage="1" errorTitle="Please check assessed amount" error="It should be lower than estimated amount." sqref="B42:D42">
      <formula1>B41</formula1>
    </dataValidation>
    <dataValidation type="date" operator="greaterThanOrEqual" allowBlank="1" showInputMessage="1" showErrorMessage="1" errorTitle="Check validity of DL" error="Driving Licence is not valid" sqref="B55:D55">
      <formula1>B38</formula1>
    </dataValidation>
    <dataValidation type="date" operator="lessThanOrEqual" allowBlank="1" showInputMessage="1" showErrorMessage="1" error="Issuing date should be earlier than the end date." sqref="B56:D56">
      <formula1>B55</formula1>
    </dataValidation>
    <dataValidation type="whole" operator="greaterThan" allowBlank="1" showInputMessage="1" showErrorMessage="1" error="Estimated Loss should be greater than 0.&#10;" sqref="B41:D41">
      <formula1>0</formula1>
    </dataValidation>
    <dataValidation type="list" allowBlank="1" showInputMessage="1" showErrorMessage="1" sqref="B49:D49">
      <formula1>"No,Yes"</formula1>
    </dataValidation>
    <dataValidation type="list" allowBlank="1" showInputMessage="1" showErrorMessage="1" sqref="B36:D36">
      <formula1>"Yes, No"</formula1>
    </dataValidation>
    <dataValidation allowBlank="1" showErrorMessage="1" error="Invalid policy number" prompt="Please Enter Last 8-Digit of Policy No" sqref="B4:D4"/>
    <dataValidation type="list" allowBlank="1" showInputMessage="1" showErrorMessage="1" error="Invalid data entered" prompt="Please enter the number of claims on policy" sqref="B8:D8">
      <formula1>"PRIVATE CAR,TAXI,AMBULANCE,GOODS CARRYING VEHICLE,PASSENGER CARRYING VEHICLE,TWO WHEELER"</formula1>
    </dataValidation>
    <dataValidation showInputMessage="1" showErrorMessage="1" error="Please enter number of jobs alloted at that particular site. It cannot be less than 1." prompt="Please enter the number of jobs alloted at the site.&#10;" sqref="H5"/>
    <dataValidation type="list" allowBlank="1" showInputMessage="1" showErrorMessage="1" sqref="I15:I16 I24:I29">
      <formula1>"Yes,No"</formula1>
    </dataValidation>
    <dataValidation type="list" allowBlank="1" showInputMessage="1" showErrorMessage="1" sqref="B2:D2">
      <formula1>"MARUTI ,HONDA ASSURE,HERO MOTO CORP,TMI,TMFL,NISSAN,RANAULT,GENERAL"</formula1>
    </dataValidation>
    <dataValidation type="list" allowBlank="1" showInputMessage="1" sqref="B45:D45">
      <formula1>$A$118:$A$129</formula1>
    </dataValidation>
    <dataValidation type="list" allowBlank="1" showInputMessage="1" showErrorMessage="1" sqref="B58:D58">
      <formula1>$F$52:$F$61</formula1>
    </dataValidation>
    <dataValidation type="list" showInputMessage="1" showErrorMessage="1" error="Please enter number of jobs alloted at that particular site. It cannot be less than 1." prompt="Please enter the number of jobs alloted at the site.&#10;" sqref="H7:I7">
      <formula1>"A,B,C"</formula1>
    </dataValidation>
  </dataValidations>
  <pageMargins left="0.7" right="0.7" top="0.75" bottom="0.75" header="0.3" footer="0.3"/>
  <pageSetup orientation="portrait" r:id="rId2"/>
  <extLst>
    <ext xmlns:x14="http://schemas.microsoft.com/office/spreadsheetml/2009/9/main" uri="{CCE6A557-97BC-4b89-ADB6-D9C93CAAB3DF}">
      <x14:dataValidations xmlns:xm="http://schemas.microsoft.com/office/excel/2006/main" xWindow="1511" yWindow="248" count="1">
        <x14:dataValidation type="list" allowBlank="1" showInputMessage="1" showErrorMessage="1">
          <x14:formula1>
            <xm:f>'Surveyor''s Master'!B2:B30</xm:f>
          </x14:formula1>
          <xm:sqref>B60:D60</xm:sqref>
        </x14:dataValidation>
      </x14:dataValidations>
    </ext>
  </extLst>
</worksheet>
</file>

<file path=xl/worksheets/sheet5.xml><?xml version="1.0" encoding="utf-8"?>
<worksheet xmlns="http://schemas.openxmlformats.org/spreadsheetml/2006/main" xmlns:r="http://schemas.openxmlformats.org/officeDocument/2006/relationships">
  <sheetPr codeName="Sheet9">
    <pageSetUpPr fitToPage="1"/>
  </sheetPr>
  <dimension ref="A1:Q41"/>
  <sheetViews>
    <sheetView topLeftCell="A7" workbookViewId="0">
      <selection activeCell="B28" sqref="B28:B36"/>
    </sheetView>
  </sheetViews>
  <sheetFormatPr defaultRowHeight="17.25" customHeight="1"/>
  <cols>
    <col min="1" max="1" width="10.85546875" style="87" customWidth="1"/>
    <col min="2" max="2" width="25.140625" style="87" customWidth="1"/>
    <col min="3" max="3" width="14.85546875" style="87" customWidth="1"/>
    <col min="4" max="4" width="18.7109375" style="87" customWidth="1"/>
    <col min="5" max="5" width="17.140625" style="87" customWidth="1"/>
    <col min="6" max="16384" width="9.140625" style="87"/>
  </cols>
  <sheetData>
    <row r="1" spans="1:17" ht="29.25" customHeight="1">
      <c r="A1" s="1060" t="str">
        <f>'Data Entry'!$B$60</f>
        <v>Dilip Kumar Sinha</v>
      </c>
      <c r="B1" s="1061"/>
      <c r="C1" s="1062" t="str">
        <f>'Data Entry'!$B$61</f>
        <v>V/477, Vidyapuri, Kankarbagh, Patna-800020</v>
      </c>
      <c r="D1" s="1062"/>
      <c r="E1" s="1063"/>
    </row>
    <row r="2" spans="1:17" ht="15" customHeight="1">
      <c r="A2" s="1082" t="s">
        <v>40</v>
      </c>
      <c r="B2" s="1081"/>
      <c r="C2" s="151"/>
      <c r="D2" s="151" t="s">
        <v>77</v>
      </c>
      <c r="E2" s="152">
        <f>'Data Entry'!$B$63</f>
        <v>9334110636</v>
      </c>
      <c r="G2" s="1073" t="s">
        <v>529</v>
      </c>
      <c r="H2" s="1073"/>
      <c r="I2" s="1073"/>
      <c r="J2" s="1073"/>
      <c r="K2" s="1073"/>
      <c r="L2" s="1073"/>
      <c r="M2" s="1073"/>
      <c r="N2" s="1073"/>
      <c r="O2" s="1073"/>
      <c r="P2" s="1073"/>
      <c r="Q2" s="1073"/>
    </row>
    <row r="3" spans="1:17" ht="15" customHeight="1">
      <c r="A3" s="153" t="s">
        <v>158</v>
      </c>
      <c r="B3" s="1081">
        <f>'Data Entry'!$B$66</f>
        <v>63315</v>
      </c>
      <c r="C3" s="1081"/>
      <c r="D3" s="151" t="s">
        <v>80</v>
      </c>
      <c r="E3" s="154">
        <f>'Data Entry'!$B$67</f>
        <v>46469</v>
      </c>
      <c r="G3" s="1073"/>
      <c r="H3" s="1073"/>
      <c r="I3" s="1073"/>
      <c r="J3" s="1073"/>
      <c r="K3" s="1073"/>
      <c r="L3" s="1073"/>
      <c r="M3" s="1073"/>
      <c r="N3" s="1073"/>
      <c r="O3" s="1073"/>
      <c r="P3" s="1073"/>
      <c r="Q3" s="1073"/>
    </row>
    <row r="4" spans="1:17" ht="15" customHeight="1">
      <c r="A4" s="153" t="s">
        <v>81</v>
      </c>
      <c r="B4" s="1081" t="str">
        <f>'Data Entry'!$B$65</f>
        <v>dilipsinha11k@gmail.com</v>
      </c>
      <c r="C4" s="1081"/>
      <c r="D4" s="151" t="s">
        <v>171</v>
      </c>
      <c r="E4" s="152">
        <f>'Data Entry'!$B$64</f>
        <v>0</v>
      </c>
      <c r="G4" s="1073"/>
      <c r="H4" s="1073"/>
      <c r="I4" s="1073"/>
      <c r="J4" s="1073"/>
      <c r="K4" s="1073"/>
      <c r="L4" s="1073"/>
      <c r="M4" s="1073"/>
      <c r="N4" s="1073"/>
      <c r="O4" s="1073"/>
      <c r="P4" s="1073"/>
      <c r="Q4" s="1073"/>
    </row>
    <row r="5" spans="1:17" ht="15" customHeight="1">
      <c r="A5" s="1078" t="s">
        <v>137</v>
      </c>
      <c r="B5" s="1079"/>
      <c r="C5" s="1079"/>
      <c r="D5" s="1079"/>
      <c r="E5" s="1080"/>
      <c r="G5" s="1073"/>
      <c r="H5" s="1073"/>
      <c r="I5" s="1073"/>
      <c r="J5" s="1073"/>
      <c r="K5" s="1073"/>
      <c r="L5" s="1073"/>
      <c r="M5" s="1073"/>
      <c r="N5" s="1073"/>
      <c r="O5" s="1073"/>
      <c r="P5" s="1073"/>
      <c r="Q5" s="1073"/>
    </row>
    <row r="6" spans="1:17" ht="15" customHeight="1">
      <c r="A6" s="1064" t="s">
        <v>17</v>
      </c>
      <c r="B6" s="1065"/>
      <c r="C6" s="1066" t="str">
        <f>'Data Entry'!$B$45</f>
        <v>Aastha Honda Patna</v>
      </c>
      <c r="D6" s="1067"/>
      <c r="E6" s="1068"/>
    </row>
    <row r="7" spans="1:17" ht="15" customHeight="1" thickBot="1">
      <c r="A7" s="1069" t="s">
        <v>15</v>
      </c>
      <c r="B7" s="1070"/>
      <c r="C7" s="1071">
        <f>'Data Entry'!$B$44</f>
        <v>0</v>
      </c>
      <c r="D7" s="1071"/>
      <c r="E7" s="1072"/>
    </row>
    <row r="8" spans="1:17" ht="15" customHeight="1" thickBot="1">
      <c r="A8" s="1085" t="str">
        <f>'Data Entry'!$B$8</f>
        <v>PRIVATE CAR</v>
      </c>
      <c r="B8" s="1086"/>
      <c r="C8" s="1086"/>
      <c r="D8" s="1086"/>
      <c r="E8" s="1087"/>
    </row>
    <row r="9" spans="1:17" ht="15" customHeight="1">
      <c r="A9" s="155">
        <v>1</v>
      </c>
      <c r="B9" s="695" t="str">
        <f>'Data Entry'!$A$3</f>
        <v xml:space="preserve"> CLAIM NUMBER</v>
      </c>
      <c r="C9" s="1083">
        <f>'Data Entry'!$B$3</f>
        <v>0</v>
      </c>
      <c r="D9" s="1083"/>
      <c r="E9" s="1084"/>
    </row>
    <row r="10" spans="1:17" ht="15" customHeight="1">
      <c r="A10" s="156">
        <v>2</v>
      </c>
      <c r="B10" s="696" t="str">
        <f>'Data Entry'!$A$4</f>
        <v xml:space="preserve"> POLICY NUMBER</v>
      </c>
      <c r="C10" s="1052">
        <f>'Data Entry'!$B$4</f>
        <v>0</v>
      </c>
      <c r="D10" s="1053"/>
      <c r="E10" s="1054"/>
      <c r="G10" s="168"/>
      <c r="H10" s="168"/>
      <c r="I10" s="168"/>
      <c r="J10" s="168"/>
      <c r="K10" s="168"/>
      <c r="L10" s="168"/>
      <c r="M10" s="168"/>
      <c r="N10" s="168"/>
      <c r="O10" s="168"/>
      <c r="P10" s="168"/>
      <c r="Q10" s="168"/>
    </row>
    <row r="11" spans="1:17" ht="15" customHeight="1">
      <c r="A11" s="156">
        <v>3</v>
      </c>
      <c r="B11" s="696" t="s">
        <v>0</v>
      </c>
      <c r="C11" s="1052" t="str">
        <f>'Data Entry'!$B$5</f>
        <v xml:space="preserve">Mr. </v>
      </c>
      <c r="D11" s="1053"/>
      <c r="E11" s="1054"/>
      <c r="G11" s="168"/>
      <c r="H11" s="168"/>
      <c r="I11" s="168"/>
      <c r="J11" s="168"/>
      <c r="K11" s="168"/>
      <c r="L11" s="168"/>
      <c r="M11" s="168"/>
      <c r="N11" s="168"/>
      <c r="O11" s="168"/>
      <c r="P11" s="168"/>
      <c r="Q11" s="168"/>
    </row>
    <row r="12" spans="1:17" ht="15" customHeight="1">
      <c r="A12" s="156">
        <v>4</v>
      </c>
      <c r="B12" s="696" t="s">
        <v>72</v>
      </c>
      <c r="C12" s="1052">
        <f>'Data Entry'!$B$18</f>
        <v>0</v>
      </c>
      <c r="D12" s="1053"/>
      <c r="E12" s="1054"/>
      <c r="G12" s="168"/>
      <c r="H12" s="168"/>
      <c r="I12" s="168"/>
      <c r="J12" s="168"/>
      <c r="K12" s="168"/>
      <c r="L12" s="168"/>
      <c r="M12" s="168"/>
      <c r="N12" s="168"/>
      <c r="O12" s="168"/>
      <c r="P12" s="168"/>
      <c r="Q12" s="168"/>
    </row>
    <row r="13" spans="1:17" ht="15" customHeight="1">
      <c r="A13" s="156">
        <v>5</v>
      </c>
      <c r="B13" s="697" t="s">
        <v>243</v>
      </c>
      <c r="C13" s="1074">
        <f>'Data Entry'!$B$12</f>
        <v>1</v>
      </c>
      <c r="D13" s="1074"/>
      <c r="E13" s="1075"/>
    </row>
    <row r="14" spans="1:17" ht="15" customHeight="1">
      <c r="A14" s="156">
        <v>6</v>
      </c>
      <c r="B14" s="696" t="str">
        <f>'Data Entry'!$A$8</f>
        <v xml:space="preserve"> TYPE OF PRIVATE VEHICLE</v>
      </c>
      <c r="C14" s="1052" t="str">
        <f>'Data Entry'!$B$8</f>
        <v>PRIVATE CAR</v>
      </c>
      <c r="D14" s="1053"/>
      <c r="E14" s="1054"/>
      <c r="G14" s="168"/>
      <c r="H14" s="168"/>
      <c r="I14" s="168"/>
      <c r="J14" s="168"/>
      <c r="K14" s="168"/>
      <c r="L14" s="168"/>
      <c r="M14" s="168"/>
      <c r="N14" s="168"/>
      <c r="O14" s="168"/>
      <c r="P14" s="168"/>
      <c r="Q14" s="168"/>
    </row>
    <row r="15" spans="1:17" ht="15" customHeight="1">
      <c r="A15" s="156">
        <v>7</v>
      </c>
      <c r="B15" s="697" t="s">
        <v>73</v>
      </c>
      <c r="C15" s="157">
        <f>'Data Entry'!B10</f>
        <v>0</v>
      </c>
      <c r="D15" s="158" t="str">
        <f>'Data Entry'!C10</f>
        <v>To</v>
      </c>
      <c r="E15" s="159">
        <f>'Data Entry'!D10</f>
        <v>0</v>
      </c>
    </row>
    <row r="16" spans="1:17" ht="15" customHeight="1">
      <c r="A16" s="156">
        <v>8</v>
      </c>
      <c r="B16" s="697" t="s">
        <v>182</v>
      </c>
      <c r="C16" s="1055">
        <f>'Data Entry'!$B$39</f>
        <v>0</v>
      </c>
      <c r="D16" s="1056"/>
      <c r="E16" s="1057"/>
    </row>
    <row r="17" spans="1:9" ht="15" customHeight="1">
      <c r="A17" s="156">
        <v>9</v>
      </c>
      <c r="B17" s="697" t="s">
        <v>244</v>
      </c>
      <c r="C17" s="1088">
        <f>'Data Entry'!$B$20</f>
        <v>0</v>
      </c>
      <c r="D17" s="1088"/>
      <c r="E17" s="1089"/>
      <c r="I17" s="374"/>
    </row>
    <row r="18" spans="1:9" ht="15" customHeight="1">
      <c r="A18" s="156">
        <v>10</v>
      </c>
      <c r="B18" s="696" t="s">
        <v>1</v>
      </c>
      <c r="C18" s="1088">
        <f>'Data Entry'!$B$38</f>
        <v>0</v>
      </c>
      <c r="D18" s="1088"/>
      <c r="E18" s="1089"/>
    </row>
    <row r="19" spans="1:9" ht="15" customHeight="1">
      <c r="A19" s="156">
        <v>11</v>
      </c>
      <c r="B19" s="696" t="s">
        <v>2</v>
      </c>
      <c r="C19" s="1058">
        <f>'Data Entry'!$B$40</f>
        <v>0</v>
      </c>
      <c r="D19" s="1058"/>
      <c r="E19" s="1059"/>
    </row>
    <row r="20" spans="1:9" ht="25.5">
      <c r="A20" s="156">
        <v>12</v>
      </c>
      <c r="B20" s="698" t="s">
        <v>245</v>
      </c>
      <c r="C20" s="1076"/>
      <c r="D20" s="1076"/>
      <c r="E20" s="1077"/>
    </row>
    <row r="21" spans="1:9" ht="83.25" customHeight="1">
      <c r="A21" s="156">
        <v>13</v>
      </c>
      <c r="B21" s="699" t="s">
        <v>3</v>
      </c>
      <c r="C21" s="1090" t="str">
        <f>'Data Entry'!$B$46</f>
        <v>As per statement of insured and also mentioned in the claim form. While the insured vehicle was en-route. At the place of accident , . Hence the damages sustained.</v>
      </c>
      <c r="D21" s="1091"/>
      <c r="E21" s="1092"/>
    </row>
    <row r="22" spans="1:9" ht="15" customHeight="1">
      <c r="A22" s="156">
        <v>14</v>
      </c>
      <c r="B22" s="696" t="s">
        <v>74</v>
      </c>
      <c r="C22" s="1074">
        <f>'Data Entry'!$B$53</f>
        <v>0</v>
      </c>
      <c r="D22" s="1074"/>
      <c r="E22" s="1075"/>
      <c r="H22" s="97"/>
    </row>
    <row r="23" spans="1:9" ht="15" customHeight="1">
      <c r="A23" s="156">
        <v>15</v>
      </c>
      <c r="B23" s="696" t="s">
        <v>4</v>
      </c>
      <c r="C23" s="1039">
        <f>'Data Entry'!$B$41</f>
        <v>0</v>
      </c>
      <c r="D23" s="1039"/>
      <c r="E23" s="1040"/>
    </row>
    <row r="24" spans="1:9" ht="15" customHeight="1">
      <c r="A24" s="156">
        <v>16</v>
      </c>
      <c r="B24" s="696" t="s">
        <v>190</v>
      </c>
      <c r="C24" s="1036">
        <f>'Processing Sheet'!$H$58</f>
        <v>-1000</v>
      </c>
      <c r="D24" s="1037"/>
      <c r="E24" s="1038"/>
    </row>
    <row r="25" spans="1:9" ht="15" customHeight="1">
      <c r="A25" s="156">
        <v>17</v>
      </c>
      <c r="B25" s="696" t="s">
        <v>5</v>
      </c>
      <c r="C25" s="1039">
        <f>'Surveyor Fee'!$E$39</f>
        <v>750</v>
      </c>
      <c r="D25" s="1039"/>
      <c r="E25" s="1040"/>
    </row>
    <row r="26" spans="1:9" ht="36" customHeight="1">
      <c r="A26" s="238">
        <v>18</v>
      </c>
      <c r="B26" s="700" t="s">
        <v>75</v>
      </c>
      <c r="C26" s="1041" t="s">
        <v>273</v>
      </c>
      <c r="D26" s="1042"/>
      <c r="E26" s="1043"/>
    </row>
    <row r="27" spans="1:9" ht="38.25" customHeight="1">
      <c r="A27" s="156">
        <v>19</v>
      </c>
      <c r="B27" s="700" t="s">
        <v>306</v>
      </c>
      <c r="C27" s="1041" t="s">
        <v>273</v>
      </c>
      <c r="D27" s="1042"/>
      <c r="E27" s="1043"/>
    </row>
    <row r="28" spans="1:9" ht="15" customHeight="1">
      <c r="A28" s="1051">
        <v>20</v>
      </c>
      <c r="B28" s="1047" t="s">
        <v>277</v>
      </c>
      <c r="C28" s="1050" t="s">
        <v>195</v>
      </c>
      <c r="D28" s="1050"/>
      <c r="E28" s="701" t="s">
        <v>800</v>
      </c>
    </row>
    <row r="29" spans="1:9" ht="15" customHeight="1">
      <c r="A29" s="1051"/>
      <c r="B29" s="1048"/>
      <c r="C29" s="1050" t="s">
        <v>274</v>
      </c>
      <c r="D29" s="1050"/>
      <c r="E29" s="701" t="s">
        <v>800</v>
      </c>
    </row>
    <row r="30" spans="1:9" ht="15" customHeight="1">
      <c r="A30" s="1051"/>
      <c r="B30" s="1048"/>
      <c r="C30" s="1050" t="s">
        <v>247</v>
      </c>
      <c r="D30" s="1050"/>
      <c r="E30" s="701" t="s">
        <v>800</v>
      </c>
    </row>
    <row r="31" spans="1:9" ht="15" customHeight="1">
      <c r="A31" s="1051"/>
      <c r="B31" s="1048"/>
      <c r="C31" s="1050" t="s">
        <v>746</v>
      </c>
      <c r="D31" s="1050"/>
      <c r="E31" s="701" t="s">
        <v>273</v>
      </c>
    </row>
    <row r="32" spans="1:9" ht="15" customHeight="1">
      <c r="A32" s="1051"/>
      <c r="B32" s="1048"/>
      <c r="C32" s="1050" t="s">
        <v>799</v>
      </c>
      <c r="D32" s="1050"/>
      <c r="E32" s="701" t="s">
        <v>273</v>
      </c>
    </row>
    <row r="33" spans="1:11" ht="15" customHeight="1">
      <c r="A33" s="1051"/>
      <c r="B33" s="1048"/>
      <c r="C33" s="1050" t="s">
        <v>246</v>
      </c>
      <c r="D33" s="1050"/>
      <c r="E33" s="701" t="s">
        <v>800</v>
      </c>
    </row>
    <row r="34" spans="1:11" ht="15" customHeight="1">
      <c r="A34" s="1051"/>
      <c r="B34" s="1048"/>
      <c r="C34" s="1050" t="s">
        <v>279</v>
      </c>
      <c r="D34" s="1050"/>
      <c r="E34" s="702" t="str">
        <f>IF('Data Entry'!G10="Break Insurance","Yes","No")</f>
        <v>No</v>
      </c>
      <c r="G34" s="1027" t="s">
        <v>280</v>
      </c>
      <c r="H34" s="1028"/>
      <c r="I34" s="1028"/>
      <c r="J34" s="1029"/>
      <c r="K34" s="214" t="s">
        <v>273</v>
      </c>
    </row>
    <row r="35" spans="1:11" ht="15" customHeight="1">
      <c r="A35" s="1051"/>
      <c r="B35" s="1048"/>
      <c r="C35" s="1050" t="s">
        <v>747</v>
      </c>
      <c r="D35" s="1050"/>
      <c r="E35" s="701" t="s">
        <v>800</v>
      </c>
    </row>
    <row r="36" spans="1:11" ht="15" customHeight="1">
      <c r="A36" s="1051"/>
      <c r="B36" s="1049"/>
      <c r="C36" s="1050" t="s">
        <v>241</v>
      </c>
      <c r="D36" s="1050"/>
      <c r="E36" s="701" t="s">
        <v>800</v>
      </c>
    </row>
    <row r="37" spans="1:11" ht="15" customHeight="1" thickBot="1">
      <c r="A37" s="1044" t="str">
        <f>IF('Data Entry'!$B$49="Yes","FIR Lodged; Driving Licence is required to be verified.","No FIR Lodged.")</f>
        <v>No FIR Lodged.</v>
      </c>
      <c r="B37" s="1045"/>
      <c r="C37" s="1045"/>
      <c r="D37" s="1045"/>
      <c r="E37" s="1046"/>
    </row>
    <row r="38" spans="1:11" ht="15" customHeight="1" thickBot="1">
      <c r="A38" s="160"/>
      <c r="B38" s="161"/>
      <c r="C38" s="162"/>
      <c r="D38" s="162"/>
      <c r="E38" s="162"/>
    </row>
    <row r="39" spans="1:11" ht="15" customHeight="1" thickBot="1">
      <c r="A39" s="1031" t="s">
        <v>6</v>
      </c>
      <c r="B39" s="1032"/>
      <c r="C39" s="1033" t="str">
        <f>'Data Entry'!$B$60</f>
        <v>Dilip Kumar Sinha</v>
      </c>
      <c r="D39" s="1034"/>
      <c r="E39" s="1035"/>
    </row>
    <row r="40" spans="1:11" ht="15" customHeight="1">
      <c r="A40" s="163"/>
      <c r="B40" s="163"/>
      <c r="C40" s="163"/>
      <c r="D40" s="164"/>
      <c r="E40" s="164"/>
    </row>
    <row r="41" spans="1:11" ht="15" customHeight="1">
      <c r="A41" s="165"/>
      <c r="B41" s="165"/>
      <c r="C41" s="1030" t="s">
        <v>181</v>
      </c>
      <c r="D41" s="1030"/>
      <c r="E41" s="1030"/>
    </row>
  </sheetData>
  <sheetProtection sheet="1" objects="1" scenarios="1" formatCells="0" formatRows="0"/>
  <customSheetViews>
    <customSheetView guid="{90D8D907-8142-40B5-8083-592E26272F1C}" showPageBreaks="1">
      <selection activeCell="G3" sqref="G3"/>
      <pageMargins left="1.1023622047244095" right="0.39370078740157483" top="0.74803149606299213" bottom="0.74803149606299213" header="0.31496062992125984" footer="0.31496062992125984"/>
      <pageSetup orientation="portrait" r:id="rId1"/>
    </customSheetView>
  </customSheetViews>
  <mergeCells count="46">
    <mergeCell ref="G2:Q5"/>
    <mergeCell ref="C13:E13"/>
    <mergeCell ref="C20:E20"/>
    <mergeCell ref="C33:D33"/>
    <mergeCell ref="A5:E5"/>
    <mergeCell ref="B3:C3"/>
    <mergeCell ref="B4:C4"/>
    <mergeCell ref="A2:B2"/>
    <mergeCell ref="C9:E9"/>
    <mergeCell ref="A8:E8"/>
    <mergeCell ref="C22:E22"/>
    <mergeCell ref="C23:E23"/>
    <mergeCell ref="C14:E14"/>
    <mergeCell ref="C18:E18"/>
    <mergeCell ref="C21:E21"/>
    <mergeCell ref="C17:E17"/>
    <mergeCell ref="A1:B1"/>
    <mergeCell ref="C1:E1"/>
    <mergeCell ref="A6:B6"/>
    <mergeCell ref="C6:E6"/>
    <mergeCell ref="A7:B7"/>
    <mergeCell ref="C7:E7"/>
    <mergeCell ref="C30:D30"/>
    <mergeCell ref="C35:D35"/>
    <mergeCell ref="C32:D32"/>
    <mergeCell ref="C11:E11"/>
    <mergeCell ref="C10:E10"/>
    <mergeCell ref="C12:E12"/>
    <mergeCell ref="C16:E16"/>
    <mergeCell ref="C19:E19"/>
    <mergeCell ref="G34:J34"/>
    <mergeCell ref="C41:E41"/>
    <mergeCell ref="A39:B39"/>
    <mergeCell ref="C39:E39"/>
    <mergeCell ref="C24:E24"/>
    <mergeCell ref="C25:E25"/>
    <mergeCell ref="C27:E27"/>
    <mergeCell ref="A37:E37"/>
    <mergeCell ref="B28:B36"/>
    <mergeCell ref="C28:D28"/>
    <mergeCell ref="C29:D29"/>
    <mergeCell ref="C36:D36"/>
    <mergeCell ref="C31:D31"/>
    <mergeCell ref="C34:D34"/>
    <mergeCell ref="A28:A36"/>
    <mergeCell ref="C26:E26"/>
  </mergeCells>
  <dataValidations count="4">
    <dataValidation type="list" allowBlank="1" showInputMessage="1" showErrorMessage="1" sqref="E33 E28:E30">
      <formula1>"SELECT,YES,NO"</formula1>
    </dataValidation>
    <dataValidation type="list" allowBlank="1" showInputMessage="1" showErrorMessage="1" sqref="E35:E36">
      <formula1>"SELECT,YES,NO,NOT APPLICABLE"</formula1>
    </dataValidation>
    <dataValidation type="list" allowBlank="1" showInputMessage="1" showErrorMessage="1" sqref="K34:K35">
      <formula1>"YES,NO"</formula1>
    </dataValidation>
    <dataValidation type="list" allowBlank="1" showInputMessage="1" showErrorMessage="1" sqref="E31:E32">
      <formula1>"SELECT,YES,NO,NOT APPLICABLE"</formula1>
    </dataValidation>
  </dataValidations>
  <printOptions horizontalCentered="1"/>
  <pageMargins left="0.511811023622047" right="0.15748031496063" top="0.82677165354330695" bottom="0.27559055118110198" header="0.47244094488188998" footer="0.196850393700787"/>
  <pageSetup paperSize="9" orientation="portrait" r:id="rId2"/>
  <headerFooter>
    <oddFooter>&amp;LVer 4.1&amp;Rfor National Insurance use only</oddFooter>
  </headerFooter>
</worksheet>
</file>

<file path=xl/worksheets/sheet6.xml><?xml version="1.0" encoding="utf-8"?>
<worksheet xmlns="http://schemas.openxmlformats.org/spreadsheetml/2006/main" xmlns:r="http://schemas.openxmlformats.org/officeDocument/2006/relationships">
  <sheetPr codeName="Sheet3">
    <tabColor theme="4" tint="0.79998168889431442"/>
    <pageSetUpPr fitToPage="1"/>
  </sheetPr>
  <dimension ref="A1:V71"/>
  <sheetViews>
    <sheetView workbookViewId="0">
      <selection activeCell="I62" sqref="I62:J62"/>
    </sheetView>
  </sheetViews>
  <sheetFormatPr defaultRowHeight="12" customHeight="1"/>
  <cols>
    <col min="1" max="1" width="6.7109375" style="100" customWidth="1"/>
    <col min="2" max="2" width="17.85546875" style="87" customWidth="1"/>
    <col min="3" max="3" width="8.85546875" style="89" customWidth="1"/>
    <col min="4" max="4" width="6.7109375" style="89" bestFit="1" customWidth="1"/>
    <col min="5" max="5" width="11.140625" style="100" customWidth="1"/>
    <col min="6" max="6" width="13" style="89" bestFit="1" customWidth="1"/>
    <col min="7" max="7" width="11.42578125" style="88" customWidth="1"/>
    <col min="8" max="8" width="6.28515625" style="89" customWidth="1"/>
    <col min="9" max="9" width="11.85546875" style="87" customWidth="1"/>
    <col min="10" max="10" width="11.7109375" style="87" customWidth="1"/>
    <col min="11" max="16384" width="9.140625" style="87"/>
  </cols>
  <sheetData>
    <row r="1" spans="1:16" ht="18" customHeight="1">
      <c r="A1" s="112"/>
      <c r="B1" s="112"/>
      <c r="C1" s="1200" t="s">
        <v>256</v>
      </c>
      <c r="D1" s="1200"/>
      <c r="E1" s="1200"/>
      <c r="F1" s="1200"/>
      <c r="G1" s="1200"/>
      <c r="H1" s="1200"/>
      <c r="I1" s="1200"/>
      <c r="J1" s="1200"/>
    </row>
    <row r="2" spans="1:16" ht="12" customHeight="1">
      <c r="A2" s="112"/>
      <c r="B2" s="112"/>
      <c r="C2" s="1200"/>
      <c r="D2" s="1200"/>
      <c r="E2" s="1200"/>
      <c r="F2" s="1200"/>
      <c r="G2" s="1200"/>
      <c r="H2" s="1200"/>
      <c r="I2" s="1200"/>
      <c r="J2" s="1200"/>
    </row>
    <row r="3" spans="1:16" ht="8.25" customHeight="1">
      <c r="A3" s="112"/>
      <c r="B3" s="112"/>
      <c r="C3" s="1200"/>
      <c r="D3" s="1200"/>
      <c r="E3" s="1200"/>
      <c r="F3" s="1200"/>
      <c r="G3" s="1200"/>
      <c r="H3" s="1200"/>
      <c r="I3" s="1200"/>
      <c r="J3" s="1200"/>
    </row>
    <row r="4" spans="1:16" ht="13.5" customHeight="1">
      <c r="A4" s="205"/>
      <c r="B4" s="205"/>
      <c r="C4" s="1200"/>
      <c r="D4" s="1200"/>
      <c r="E4" s="1200"/>
      <c r="F4" s="1200"/>
      <c r="G4" s="1200"/>
      <c r="H4" s="1200"/>
      <c r="I4" s="1200"/>
      <c r="J4" s="1200"/>
    </row>
    <row r="5" spans="1:16" ht="13.5" customHeight="1" thickBot="1">
      <c r="A5" s="376" t="s">
        <v>527</v>
      </c>
      <c r="B5" s="205"/>
      <c r="C5" s="375"/>
      <c r="D5" s="375"/>
      <c r="E5" s="375"/>
      <c r="F5" s="375"/>
      <c r="G5" s="375"/>
      <c r="H5" s="375"/>
      <c r="I5" s="813" t="s">
        <v>810</v>
      </c>
      <c r="J5" s="814" t="s">
        <v>811</v>
      </c>
    </row>
    <row r="6" spans="1:16" ht="20.25" thickTop="1" thickBot="1">
      <c r="A6" s="1231" t="str">
        <f>IF('Data Entry'!$B$2&lt;&gt;"",'Data Entry'!$B$2,"")</f>
        <v xml:space="preserve">MARUTI </v>
      </c>
      <c r="B6" s="1232"/>
      <c r="C6" s="1232"/>
      <c r="D6" s="1232"/>
      <c r="E6" s="1232"/>
      <c r="F6" s="1232"/>
      <c r="G6" s="1232"/>
      <c r="H6" s="1232"/>
      <c r="I6" s="1232"/>
      <c r="J6" s="1233"/>
    </row>
    <row r="7" spans="1:16" ht="12" customHeight="1" thickTop="1" thickBot="1">
      <c r="A7" s="1242" t="s">
        <v>145</v>
      </c>
      <c r="B7" s="1242"/>
      <c r="C7" s="1248" t="str">
        <f>IF('Data Entry'!$H$1&lt;&gt;"",'Data Entry'!$H$1,"")</f>
        <v>DKS/ Aasth Honda/March/2024-2025</v>
      </c>
      <c r="D7" s="1176"/>
      <c r="E7" s="1176"/>
      <c r="F7" s="1249"/>
      <c r="G7" s="1243" t="s">
        <v>146</v>
      </c>
      <c r="H7" s="1243"/>
      <c r="I7" s="1244" t="str">
        <f>IF('Data Entry'!$H$3&lt;&gt;"",'Data Entry'!$H$3,"")</f>
        <v/>
      </c>
      <c r="J7" s="1245"/>
    </row>
    <row r="8" spans="1:16" ht="12" customHeight="1">
      <c r="A8" s="1246" t="s">
        <v>18</v>
      </c>
      <c r="B8" s="1247"/>
      <c r="C8" s="1201" t="s">
        <v>189</v>
      </c>
      <c r="D8" s="1202"/>
      <c r="E8" s="1203"/>
      <c r="F8" s="1201" t="s">
        <v>22</v>
      </c>
      <c r="G8" s="1202"/>
      <c r="H8" s="1230"/>
      <c r="I8" s="1213" t="s">
        <v>19</v>
      </c>
      <c r="J8" s="1214"/>
    </row>
    <row r="9" spans="1:16" ht="12" customHeight="1">
      <c r="A9" s="1250" t="s">
        <v>20</v>
      </c>
      <c r="B9" s="1251"/>
      <c r="C9" s="1207"/>
      <c r="D9" s="1208"/>
      <c r="E9" s="1209"/>
      <c r="F9" s="1215" t="str">
        <f>IF('Data Entry'!$B$60&lt;&gt;"",'Data Entry'!$B$60,"")</f>
        <v>Dilip Kumar Sinha</v>
      </c>
      <c r="G9" s="1216"/>
      <c r="H9" s="1217"/>
      <c r="I9" s="1224"/>
      <c r="J9" s="1225"/>
      <c r="L9" s="133"/>
      <c r="M9" s="133"/>
      <c r="N9" s="133"/>
      <c r="O9" s="133"/>
      <c r="P9" s="133"/>
    </row>
    <row r="10" spans="1:16" ht="12" customHeight="1">
      <c r="A10" s="1250" t="s">
        <v>15</v>
      </c>
      <c r="B10" s="1251"/>
      <c r="C10" s="1204" t="str">
        <f>IF('Data Entry'!$B$50&lt;&gt;"",'Data Entry'!$B$50,"")</f>
        <v/>
      </c>
      <c r="D10" s="1205"/>
      <c r="E10" s="1206"/>
      <c r="F10" s="1218" t="str">
        <f>IF('Data Entry'!$B$44&lt;&gt;"",'Data Entry'!$B$44,"")</f>
        <v/>
      </c>
      <c r="G10" s="1219"/>
      <c r="H10" s="1220"/>
      <c r="I10" s="1226" t="str">
        <f>IF('Data Entry'!$B$51&lt;&gt;"",'Data Entry'!$B$51,"")</f>
        <v/>
      </c>
      <c r="J10" s="1227"/>
      <c r="L10" s="94"/>
      <c r="M10" s="133"/>
      <c r="N10" s="559"/>
      <c r="O10" s="559"/>
      <c r="P10" s="559"/>
    </row>
    <row r="11" spans="1:16" ht="12" customHeight="1" thickBot="1">
      <c r="A11" s="1252" t="s">
        <v>17</v>
      </c>
      <c r="B11" s="1253"/>
      <c r="C11" s="1210"/>
      <c r="D11" s="1211"/>
      <c r="E11" s="1212"/>
      <c r="F11" s="1221" t="str">
        <f>'Data Entry'!$B$45</f>
        <v>Aastha Honda Patna</v>
      </c>
      <c r="G11" s="1222"/>
      <c r="H11" s="1223"/>
      <c r="I11" s="1228"/>
      <c r="J11" s="1229"/>
      <c r="L11" s="133"/>
      <c r="M11" s="133"/>
      <c r="N11" s="133"/>
      <c r="O11" s="133"/>
      <c r="P11" s="133"/>
    </row>
    <row r="12" spans="1:16" ht="12" customHeight="1">
      <c r="A12" s="128"/>
      <c r="B12" s="128"/>
      <c r="C12" s="131"/>
      <c r="D12" s="131"/>
      <c r="E12" s="131"/>
      <c r="F12" s="132"/>
      <c r="G12" s="1197" t="s">
        <v>545</v>
      </c>
      <c r="H12" s="1197"/>
      <c r="I12" s="1198">
        <f ca="1">TODAY()</f>
        <v>46137</v>
      </c>
      <c r="J12" s="1199"/>
      <c r="L12" s="133"/>
      <c r="M12" s="133"/>
      <c r="N12" s="133"/>
      <c r="O12" s="133"/>
      <c r="P12" s="133"/>
    </row>
    <row r="13" spans="1:16" ht="13.5" customHeight="1" thickBot="1">
      <c r="A13" s="687" t="s">
        <v>233</v>
      </c>
      <c r="B13" s="688"/>
      <c r="C13" s="688"/>
      <c r="D13" s="688"/>
      <c r="E13" s="1261" t="str">
        <f>IF('Data Entry'!G10&lt;&gt;"",'Data Entry'!G10)</f>
        <v>New Policy</v>
      </c>
      <c r="F13" s="1261"/>
      <c r="G13" s="688"/>
      <c r="H13" s="688"/>
      <c r="I13" s="688"/>
      <c r="J13" s="689" t="str">
        <f>IF('Data Entry'!I17="No","Normal Policy","Zero Dep.Policy")</f>
        <v>Zero Dep.Policy</v>
      </c>
      <c r="K13" s="133"/>
      <c r="L13" s="133"/>
      <c r="M13" s="133"/>
      <c r="N13" s="133"/>
      <c r="O13" s="133"/>
      <c r="P13" s="133"/>
    </row>
    <row r="14" spans="1:16" ht="12" customHeight="1">
      <c r="A14" s="1255" t="s">
        <v>83</v>
      </c>
      <c r="B14" s="1256"/>
      <c r="C14" s="1194" t="str">
        <f>'Data Entry'!$B$5</f>
        <v xml:space="preserve">Mr. </v>
      </c>
      <c r="D14" s="1194"/>
      <c r="E14" s="1194"/>
      <c r="F14" s="1194"/>
      <c r="G14" s="1254" t="s">
        <v>227</v>
      </c>
      <c r="H14" s="1254"/>
      <c r="I14" s="1195" t="str">
        <f>'Data Entry'!$B$8</f>
        <v>PRIVATE CAR</v>
      </c>
      <c r="J14" s="1196"/>
      <c r="K14" s="140"/>
      <c r="L14" s="133"/>
      <c r="M14" s="133"/>
      <c r="N14" s="133"/>
      <c r="O14" s="134"/>
      <c r="P14" s="134"/>
    </row>
    <row r="15" spans="1:16" ht="12" customHeight="1">
      <c r="A15" s="1235" t="s">
        <v>73</v>
      </c>
      <c r="B15" s="1236"/>
      <c r="C15" s="1234" t="str">
        <f>IF('Data Entry'!$B$10&lt;&gt;"",'Data Entry'!$B$10,"")</f>
        <v/>
      </c>
      <c r="D15" s="1234"/>
      <c r="E15" s="239" t="s">
        <v>226</v>
      </c>
      <c r="F15" s="123" t="str">
        <f>IF('Data Entry'!$D$10&lt;&gt;"",'Data Entry'!$D$10,"")</f>
        <v/>
      </c>
      <c r="G15" s="1236" t="str">
        <f>'Data Entry'!$A$3</f>
        <v xml:space="preserve"> CLAIM NUMBER</v>
      </c>
      <c r="H15" s="1236"/>
      <c r="I15" s="1257">
        <f>'Data Entry'!$B$3</f>
        <v>0</v>
      </c>
      <c r="J15" s="1258"/>
      <c r="K15" s="141"/>
      <c r="L15" s="133"/>
      <c r="M15" s="133"/>
      <c r="N15" s="133"/>
      <c r="O15" s="133"/>
      <c r="P15" s="133"/>
    </row>
    <row r="16" spans="1:16" ht="12" customHeight="1" thickBot="1">
      <c r="A16" s="1240" t="s">
        <v>84</v>
      </c>
      <c r="B16" s="1241"/>
      <c r="C16" s="1160">
        <f>'Data Entry'!$B$4</f>
        <v>0</v>
      </c>
      <c r="D16" s="1160"/>
      <c r="E16" s="1160"/>
      <c r="F16" s="1160"/>
      <c r="G16" s="1241" t="s">
        <v>188</v>
      </c>
      <c r="H16" s="1241"/>
      <c r="I16" s="1259">
        <f>'Data Entry'!B11</f>
        <v>0</v>
      </c>
      <c r="J16" s="1260"/>
      <c r="K16" s="133"/>
      <c r="L16" s="133"/>
      <c r="M16" s="133"/>
      <c r="N16" s="133"/>
      <c r="O16" s="133"/>
      <c r="P16" s="133"/>
    </row>
    <row r="17" spans="1:22" ht="12" customHeight="1">
      <c r="A17" s="128"/>
      <c r="B17" s="129"/>
      <c r="C17" s="127"/>
      <c r="D17" s="127"/>
      <c r="E17" s="130"/>
      <c r="F17" s="130"/>
      <c r="G17" s="129"/>
      <c r="H17" s="129"/>
      <c r="I17" s="130"/>
      <c r="J17" s="130"/>
      <c r="L17" s="133"/>
      <c r="M17" s="133"/>
      <c r="N17" s="133"/>
      <c r="O17" s="133"/>
      <c r="P17" s="133"/>
    </row>
    <row r="18" spans="1:22" ht="12" customHeight="1" thickBot="1">
      <c r="A18" s="686" t="s">
        <v>232</v>
      </c>
      <c r="B18" s="684"/>
      <c r="C18" s="684"/>
      <c r="D18" s="684"/>
      <c r="E18" s="684"/>
      <c r="F18" s="684"/>
      <c r="G18" s="684"/>
      <c r="H18" s="684"/>
      <c r="I18" s="684"/>
      <c r="J18" s="685" t="str">
        <f>PROPER('Data Entry'!B8)</f>
        <v>Private Car</v>
      </c>
      <c r="L18" s="133"/>
      <c r="M18" s="133"/>
      <c r="N18" s="133"/>
      <c r="O18" s="135"/>
      <c r="P18" s="136"/>
    </row>
    <row r="19" spans="1:22" ht="12" customHeight="1">
      <c r="A19" s="1268" t="s">
        <v>87</v>
      </c>
      <c r="B19" s="1269"/>
      <c r="C19" s="1180" t="str">
        <f>IF('Data Entry'!$B$19&lt;&gt;"",'Data Entry'!$B$19,"")</f>
        <v/>
      </c>
      <c r="D19" s="1180"/>
      <c r="E19" s="245" t="s">
        <v>226</v>
      </c>
      <c r="F19" s="246" t="str">
        <f>IF('Data Entry'!$B$32&lt;&gt;"",'Data Entry'!$B$32,"")</f>
        <v>Road-Worthy</v>
      </c>
      <c r="G19" s="1159" t="s">
        <v>86</v>
      </c>
      <c r="H19" s="1159"/>
      <c r="I19" s="1266">
        <f>'Data Entry'!$B$18</f>
        <v>0</v>
      </c>
      <c r="J19" s="1267"/>
      <c r="L19" s="135"/>
      <c r="M19" s="1192"/>
      <c r="N19" s="1192"/>
      <c r="O19" s="135"/>
      <c r="P19" s="137"/>
    </row>
    <row r="20" spans="1:22" ht="12" customHeight="1" thickBot="1">
      <c r="A20" s="1161" t="s">
        <v>88</v>
      </c>
      <c r="B20" s="1162"/>
      <c r="C20" s="1179">
        <f>'Data Entry'!$B$21</f>
        <v>0</v>
      </c>
      <c r="D20" s="1179"/>
      <c r="E20" s="680" t="s">
        <v>228</v>
      </c>
      <c r="F20" s="247">
        <f>'Data Entry'!$B$22</f>
        <v>0</v>
      </c>
      <c r="G20" s="1162" t="s">
        <v>90</v>
      </c>
      <c r="H20" s="1162"/>
      <c r="I20" s="1181" t="str">
        <f>'Data Entry'!$B$23</f>
        <v xml:space="preserve">M/S Maruti </v>
      </c>
      <c r="J20" s="1182"/>
      <c r="K20" s="43"/>
      <c r="L20" s="138"/>
      <c r="M20" s="133"/>
      <c r="N20" s="133"/>
      <c r="O20" s="139"/>
      <c r="P20" s="133"/>
    </row>
    <row r="21" spans="1:22" ht="12" customHeight="1">
      <c r="A21" s="243"/>
      <c r="B21" s="133"/>
      <c r="C21" s="244"/>
      <c r="D21" s="244"/>
      <c r="E21" s="243"/>
      <c r="F21" s="244"/>
      <c r="G21" s="1173"/>
      <c r="H21" s="1173"/>
      <c r="I21" s="1176"/>
      <c r="J21" s="1176"/>
      <c r="L21" s="133"/>
      <c r="M21" s="133"/>
      <c r="N21" s="133"/>
      <c r="O21" s="133"/>
      <c r="P21" s="133"/>
    </row>
    <row r="22" spans="1:22" ht="12" customHeight="1" thickBot="1">
      <c r="A22" s="686" t="s">
        <v>231</v>
      </c>
      <c r="B22" s="684"/>
      <c r="C22" s="684"/>
      <c r="D22" s="684"/>
      <c r="E22" s="684"/>
      <c r="F22" s="684"/>
      <c r="G22" s="684"/>
      <c r="H22" s="684"/>
      <c r="I22" s="684"/>
      <c r="J22" s="685" t="str">
        <f>IF('Data Entry'!I15="Yes","Engine Protected Policy","")</f>
        <v>Engine Protected Policy</v>
      </c>
      <c r="L22" s="94"/>
      <c r="M22" s="94"/>
      <c r="N22" s="133"/>
      <c r="O22" s="133"/>
      <c r="P22" s="133"/>
    </row>
    <row r="23" spans="1:22" ht="12" customHeight="1">
      <c r="A23" s="1158" t="s">
        <v>96</v>
      </c>
      <c r="B23" s="1159"/>
      <c r="C23" s="1183">
        <f>'Data Entry'!$B$53</f>
        <v>0</v>
      </c>
      <c r="D23" s="1183"/>
      <c r="E23" s="1183"/>
      <c r="F23" s="1183"/>
      <c r="G23" s="1184" t="s">
        <v>97</v>
      </c>
      <c r="H23" s="1185"/>
      <c r="I23" s="1188">
        <f>'Data Entry'!$B$54</f>
        <v>0</v>
      </c>
      <c r="J23" s="1189"/>
      <c r="L23" s="1073" t="s">
        <v>528</v>
      </c>
      <c r="M23" s="1073"/>
      <c r="N23" s="1073"/>
      <c r="O23" s="1073"/>
      <c r="P23" s="1073"/>
      <c r="Q23" s="1073"/>
      <c r="R23" s="1073"/>
      <c r="S23" s="1073"/>
      <c r="T23" s="1073"/>
      <c r="U23" s="1073"/>
      <c r="V23" s="1073"/>
    </row>
    <row r="24" spans="1:22" ht="15.75" customHeight="1" thickBot="1">
      <c r="A24" s="1177" t="s">
        <v>98</v>
      </c>
      <c r="B24" s="1178"/>
      <c r="C24" s="1174" t="str">
        <f>IF('Data Entry'!$B$56&lt;&gt;"",'Data Entry'!$B$56,"")</f>
        <v/>
      </c>
      <c r="D24" s="1174"/>
      <c r="E24" s="240" t="s">
        <v>226</v>
      </c>
      <c r="F24" s="242" t="str">
        <f>IF('Data Entry'!$B$55&lt;&gt;"",'Data Entry'!$B$55,"")</f>
        <v/>
      </c>
      <c r="G24" s="1186"/>
      <c r="H24" s="1187"/>
      <c r="I24" s="1190"/>
      <c r="J24" s="1191"/>
      <c r="L24" s="1073"/>
      <c r="M24" s="1073"/>
      <c r="N24" s="1073"/>
      <c r="O24" s="1073"/>
      <c r="P24" s="1073"/>
      <c r="Q24" s="1073"/>
      <c r="R24" s="1073"/>
      <c r="S24" s="1073"/>
      <c r="T24" s="1073"/>
      <c r="U24" s="1073"/>
      <c r="V24" s="1073"/>
    </row>
    <row r="25" spans="1:22" ht="15.75" customHeight="1" thickTop="1" thickBot="1">
      <c r="A25" s="1161" t="s">
        <v>101</v>
      </c>
      <c r="B25" s="1262"/>
      <c r="C25" s="1263" t="str">
        <f>'Data Entry'!$B$58</f>
        <v>MCWG/LMV : Light Motor Vehicle &amp; Motor Cycle with Gear</v>
      </c>
      <c r="D25" s="1264"/>
      <c r="E25" s="1264"/>
      <c r="F25" s="1264"/>
      <c r="G25" s="1264"/>
      <c r="H25" s="1264"/>
      <c r="I25" s="1264"/>
      <c r="J25" s="1265"/>
      <c r="L25" s="1073"/>
      <c r="M25" s="1073"/>
      <c r="N25" s="1073"/>
      <c r="O25" s="1073"/>
      <c r="P25" s="1073"/>
      <c r="Q25" s="1073"/>
      <c r="R25" s="1073"/>
      <c r="S25" s="1073"/>
      <c r="T25" s="1073"/>
      <c r="U25" s="1073"/>
      <c r="V25" s="1073"/>
    </row>
    <row r="26" spans="1:22" ht="12" customHeight="1">
      <c r="A26" s="143"/>
      <c r="B26" s="143"/>
      <c r="C26" s="124"/>
      <c r="D26" s="124"/>
      <c r="E26" s="125"/>
      <c r="F26" s="126"/>
      <c r="G26" s="114"/>
      <c r="H26" s="114"/>
      <c r="I26" s="125"/>
      <c r="J26" s="125"/>
      <c r="L26" s="1073"/>
      <c r="M26" s="1073"/>
      <c r="N26" s="1073"/>
      <c r="O26" s="1073"/>
      <c r="P26" s="1073"/>
      <c r="Q26" s="1073"/>
      <c r="R26" s="1073"/>
      <c r="S26" s="1073"/>
      <c r="T26" s="1073"/>
      <c r="U26" s="1073"/>
      <c r="V26" s="1073"/>
    </row>
    <row r="27" spans="1:22" ht="12" customHeight="1" thickBot="1">
      <c r="A27" s="683" t="s">
        <v>230</v>
      </c>
      <c r="B27" s="684"/>
      <c r="C27" s="684"/>
      <c r="D27" s="684"/>
      <c r="E27" s="684"/>
      <c r="F27" s="684"/>
      <c r="G27" s="684"/>
      <c r="H27" s="684"/>
      <c r="I27" s="684"/>
      <c r="J27" s="685" t="str">
        <f>'Data Entry'!C38</f>
        <v>at</v>
      </c>
      <c r="L27" s="1073"/>
      <c r="M27" s="1073"/>
      <c r="N27" s="1073"/>
      <c r="O27" s="1073"/>
      <c r="P27" s="1073"/>
      <c r="Q27" s="1073"/>
      <c r="R27" s="1073"/>
      <c r="S27" s="1073"/>
      <c r="T27" s="1073"/>
      <c r="U27" s="1073"/>
      <c r="V27" s="1073"/>
    </row>
    <row r="28" spans="1:22" ht="12" customHeight="1">
      <c r="A28" s="1158" t="s">
        <v>103</v>
      </c>
      <c r="B28" s="1159"/>
      <c r="C28" s="1180" t="str">
        <f>IF('Data Entry'!$B$38&lt;&gt;"",'Data Entry'!$B$38,"")</f>
        <v/>
      </c>
      <c r="D28" s="1180"/>
      <c r="E28" s="1180"/>
      <c r="F28" s="1180"/>
      <c r="G28" s="1159" t="s">
        <v>229</v>
      </c>
      <c r="H28" s="1159"/>
      <c r="I28" s="1180" t="str">
        <f>IF('Data Entry'!$B$40&lt;&gt;"",'Data Entry'!$B$40,"")</f>
        <v/>
      </c>
      <c r="J28" s="1193"/>
      <c r="L28" s="1073"/>
      <c r="M28" s="1073"/>
      <c r="N28" s="1073"/>
      <c r="O28" s="1073"/>
      <c r="P28" s="1073"/>
      <c r="Q28" s="1073"/>
      <c r="R28" s="1073"/>
      <c r="S28" s="1073"/>
      <c r="T28" s="1073"/>
      <c r="U28" s="1073"/>
      <c r="V28" s="1073"/>
    </row>
    <row r="29" spans="1:22" ht="12" customHeight="1" thickBot="1">
      <c r="A29" s="1161" t="s">
        <v>104</v>
      </c>
      <c r="B29" s="1162"/>
      <c r="C29" s="1160">
        <f>'Data Entry'!$B$39</f>
        <v>0</v>
      </c>
      <c r="D29" s="1160"/>
      <c r="E29" s="1160"/>
      <c r="F29" s="1160"/>
      <c r="G29" s="1162" t="s">
        <v>4</v>
      </c>
      <c r="H29" s="1162"/>
      <c r="I29" s="1163">
        <f>'Data Entry'!$B$41</f>
        <v>0</v>
      </c>
      <c r="J29" s="1164"/>
      <c r="L29" s="1073"/>
      <c r="M29" s="1073"/>
      <c r="N29" s="1073"/>
      <c r="O29" s="1073"/>
      <c r="P29" s="1073"/>
      <c r="Q29" s="1073"/>
      <c r="R29" s="1073"/>
      <c r="S29" s="1073"/>
      <c r="T29" s="1073"/>
      <c r="U29" s="1073"/>
      <c r="V29" s="1073"/>
    </row>
    <row r="30" spans="1:22" ht="12" customHeight="1">
      <c r="A30" s="101"/>
      <c r="B30" s="92"/>
      <c r="C30" s="93"/>
      <c r="D30" s="103"/>
      <c r="E30" s="101"/>
      <c r="F30" s="93"/>
      <c r="G30" s="93"/>
      <c r="H30" s="93"/>
      <c r="L30" s="1073"/>
      <c r="M30" s="1073"/>
      <c r="N30" s="1073"/>
      <c r="O30" s="1073"/>
      <c r="P30" s="1073"/>
      <c r="Q30" s="1073"/>
      <c r="R30" s="1073"/>
      <c r="S30" s="1073"/>
      <c r="T30" s="1073"/>
      <c r="U30" s="1073"/>
      <c r="V30" s="1073"/>
    </row>
    <row r="31" spans="1:22" ht="12" customHeight="1">
      <c r="A31" s="1175" t="s">
        <v>49</v>
      </c>
      <c r="B31" s="1175"/>
      <c r="C31" s="1175"/>
      <c r="D31" s="1119"/>
      <c r="E31" s="193">
        <f>IF(I31&gt;10,50,IF(I31&gt;5,40,IF(I31&gt;4,35,IF(I31&gt;3,25,IF(I31&gt;2,15,IF(I31&gt;1,10,IF(I31&gt;0.5,5,0)))))))</f>
        <v>0</v>
      </c>
      <c r="F31" s="192" t="s">
        <v>34</v>
      </c>
      <c r="G31" s="1171" t="s">
        <v>24</v>
      </c>
      <c r="H31" s="1172"/>
      <c r="I31" s="207">
        <f>ROUND('Data Entry'!L16,2)</f>
        <v>0</v>
      </c>
      <c r="J31" s="192" t="s">
        <v>250</v>
      </c>
      <c r="L31" s="190">
        <f>IF(('Data Entry'!B19)&lt;('Data Entry'!B10),YEARFRAC('Data Entry'!B38,'Data Entry'!B19),YEARFRAC('Data Entry'!B38,'Data Entry'!B10))</f>
        <v>0</v>
      </c>
      <c r="M31" s="95"/>
      <c r="N31" s="91"/>
    </row>
    <row r="32" spans="1:22" ht="12" customHeight="1">
      <c r="A32" s="143"/>
      <c r="B32" s="143"/>
      <c r="C32" s="124"/>
      <c r="D32" s="124"/>
      <c r="E32" s="125"/>
      <c r="F32" s="126"/>
      <c r="G32" s="114"/>
      <c r="H32" s="114"/>
      <c r="I32" s="125"/>
      <c r="J32" s="125"/>
      <c r="L32" s="190"/>
      <c r="M32" s="95"/>
      <c r="N32" s="91"/>
    </row>
    <row r="33" spans="1:14" ht="12" customHeight="1">
      <c r="A33" s="683" t="s">
        <v>705</v>
      </c>
      <c r="B33" s="684"/>
      <c r="C33" s="684"/>
      <c r="D33" s="684"/>
      <c r="E33" s="684"/>
      <c r="F33" s="684"/>
      <c r="G33" s="684"/>
      <c r="H33" s="684"/>
      <c r="I33" s="684"/>
      <c r="J33" s="685"/>
      <c r="L33" s="190"/>
      <c r="M33" s="95"/>
      <c r="N33" s="91"/>
    </row>
    <row r="34" spans="1:14" ht="12" customHeight="1">
      <c r="D34" s="1093" t="s">
        <v>714</v>
      </c>
      <c r="E34" s="1093"/>
      <c r="F34" s="1093" t="s">
        <v>713</v>
      </c>
      <c r="G34" s="1093"/>
      <c r="H34" s="675"/>
      <c r="I34" s="104"/>
      <c r="J34" s="97"/>
    </row>
    <row r="35" spans="1:14" ht="12" customHeight="1">
      <c r="D35" s="1094">
        <f>'Data Entry'!B77</f>
        <v>0.18</v>
      </c>
      <c r="E35" s="1094"/>
      <c r="F35" s="1095">
        <f>'Assessment Sheet'!H199</f>
        <v>0</v>
      </c>
      <c r="G35" s="1095"/>
      <c r="H35" s="676"/>
      <c r="J35" s="97"/>
    </row>
    <row r="36" spans="1:14" s="91" customFormat="1" ht="12" customHeight="1">
      <c r="A36" s="90"/>
      <c r="C36" s="93"/>
      <c r="F36" s="692"/>
      <c r="G36" s="692"/>
      <c r="H36" s="676"/>
      <c r="J36" s="693"/>
    </row>
    <row r="37" spans="1:14" ht="12" customHeight="1">
      <c r="C37" s="87"/>
      <c r="D37" s="1093" t="s">
        <v>639</v>
      </c>
      <c r="E37" s="1093"/>
      <c r="F37" s="1093" t="s">
        <v>713</v>
      </c>
      <c r="G37" s="1093"/>
      <c r="H37" s="676"/>
      <c r="J37" s="97"/>
    </row>
    <row r="38" spans="1:14" ht="12" customHeight="1">
      <c r="C38" s="87"/>
      <c r="D38" s="1094">
        <f>'Data Entry'!A77</f>
        <v>0</v>
      </c>
      <c r="E38" s="1094"/>
      <c r="F38" s="1074">
        <f>'Assessment Sheet'!H191</f>
        <v>0</v>
      </c>
      <c r="G38" s="1074"/>
      <c r="H38" s="677"/>
      <c r="J38" s="97"/>
    </row>
    <row r="39" spans="1:14" ht="12" customHeight="1">
      <c r="C39" s="87"/>
      <c r="D39" s="1094">
        <f>'Data Entry'!A78</f>
        <v>0.05</v>
      </c>
      <c r="E39" s="1094"/>
      <c r="F39" s="1074">
        <f>'Assessment Sheet'!H192</f>
        <v>0</v>
      </c>
      <c r="G39" s="1074"/>
      <c r="H39" s="678"/>
      <c r="J39" s="97"/>
    </row>
    <row r="40" spans="1:14" ht="12" customHeight="1">
      <c r="C40" s="87"/>
      <c r="D40" s="1094">
        <f>'Data Entry'!A79</f>
        <v>0.12</v>
      </c>
      <c r="E40" s="1094"/>
      <c r="F40" s="1074">
        <f>'Assessment Sheet'!H193</f>
        <v>0</v>
      </c>
      <c r="G40" s="1074"/>
      <c r="H40" s="99"/>
      <c r="J40" s="97"/>
    </row>
    <row r="41" spans="1:14" ht="12" customHeight="1">
      <c r="C41" s="87"/>
      <c r="D41" s="1094">
        <f>'Data Entry'!A80</f>
        <v>0.18</v>
      </c>
      <c r="E41" s="1094"/>
      <c r="F41" s="1074">
        <f>'Assessment Sheet'!H194</f>
        <v>0</v>
      </c>
      <c r="G41" s="1074"/>
      <c r="H41" s="99"/>
      <c r="J41" s="97"/>
    </row>
    <row r="42" spans="1:14" ht="12" customHeight="1">
      <c r="C42" s="87"/>
      <c r="D42" s="1094">
        <f>'Data Entry'!A81</f>
        <v>0.28000000000000003</v>
      </c>
      <c r="E42" s="1094"/>
      <c r="F42" s="1074">
        <f>'Assessment Sheet'!H195</f>
        <v>0</v>
      </c>
      <c r="G42" s="1074"/>
      <c r="H42" s="99"/>
      <c r="J42" s="97"/>
    </row>
    <row r="43" spans="1:14" ht="12" customHeight="1" thickBot="1">
      <c r="A43" s="110"/>
      <c r="B43" s="583"/>
      <c r="C43" s="583"/>
      <c r="D43" s="583"/>
      <c r="E43" s="584"/>
      <c r="F43" s="1096"/>
      <c r="G43" s="1096"/>
      <c r="H43" s="585"/>
      <c r="I43" s="583"/>
      <c r="J43" s="586"/>
      <c r="K43" s="583"/>
    </row>
    <row r="44" spans="1:14" ht="12" customHeight="1" thickBot="1">
      <c r="A44" s="682" t="s">
        <v>25</v>
      </c>
      <c r="B44" s="1097" t="s">
        <v>26</v>
      </c>
      <c r="C44" s="1098"/>
      <c r="D44" s="1098"/>
      <c r="E44" s="1098"/>
      <c r="F44" s="1098"/>
      <c r="G44" s="1099"/>
      <c r="H44" s="1113" t="s">
        <v>35</v>
      </c>
      <c r="I44" s="1114"/>
      <c r="J44" s="1115"/>
    </row>
    <row r="45" spans="1:14" ht="12" customHeight="1">
      <c r="A45" s="575">
        <v>1</v>
      </c>
      <c r="B45" s="1139" t="s">
        <v>225</v>
      </c>
      <c r="C45" s="1139"/>
      <c r="D45" s="93"/>
      <c r="E45" s="90"/>
      <c r="F45" s="93"/>
      <c r="G45" s="187"/>
      <c r="H45" s="1137">
        <f>IF('Assessment Sheet'!G71="Yes",'Assessment Sheet'!I79,'Assessment Sheet'!I80)</f>
        <v>0</v>
      </c>
      <c r="I45" s="1137"/>
      <c r="J45" s="1138"/>
      <c r="L45" s="204"/>
    </row>
    <row r="46" spans="1:14" ht="12" customHeight="1">
      <c r="A46" s="102">
        <v>2</v>
      </c>
      <c r="B46" s="1139" t="s">
        <v>27</v>
      </c>
      <c r="C46" s="1139"/>
      <c r="D46" s="93"/>
      <c r="E46" s="90"/>
      <c r="F46" s="93"/>
      <c r="G46" s="187"/>
      <c r="H46" s="1111">
        <f>'Assessment Sheet'!I180-H45</f>
        <v>0</v>
      </c>
      <c r="I46" s="1111"/>
      <c r="J46" s="1112"/>
    </row>
    <row r="47" spans="1:14" ht="12" customHeight="1">
      <c r="A47" s="102">
        <v>3</v>
      </c>
      <c r="B47" s="1139" t="s">
        <v>28</v>
      </c>
      <c r="C47" s="1139"/>
      <c r="D47" s="93"/>
      <c r="E47" s="90"/>
      <c r="F47" s="93"/>
      <c r="G47" s="187"/>
      <c r="H47" s="1111">
        <f>'Assessment Sheet'!$I$41</f>
        <v>0</v>
      </c>
      <c r="I47" s="1111"/>
      <c r="J47" s="1112"/>
    </row>
    <row r="48" spans="1:14" ht="12" customHeight="1">
      <c r="A48" s="102">
        <v>4</v>
      </c>
      <c r="B48" s="1139" t="s">
        <v>29</v>
      </c>
      <c r="C48" s="1139"/>
      <c r="D48" s="93"/>
      <c r="E48" s="90"/>
      <c r="F48" s="93"/>
      <c r="G48" s="187"/>
      <c r="H48" s="1111">
        <f>'Assessment Sheet'!$G$72</f>
        <v>0</v>
      </c>
      <c r="I48" s="1111"/>
      <c r="J48" s="1112"/>
    </row>
    <row r="49" spans="1:19" ht="12" customHeight="1">
      <c r="A49" s="102">
        <v>5</v>
      </c>
      <c r="B49" s="1139" t="s">
        <v>30</v>
      </c>
      <c r="C49" s="1139"/>
      <c r="D49" s="93"/>
      <c r="E49" s="90"/>
      <c r="F49" s="93"/>
      <c r="G49" s="187"/>
      <c r="H49" s="1135"/>
      <c r="I49" s="1135"/>
      <c r="J49" s="1136"/>
    </row>
    <row r="50" spans="1:19" ht="12" customHeight="1">
      <c r="A50" s="102">
        <v>6</v>
      </c>
      <c r="B50" s="1139" t="s">
        <v>638</v>
      </c>
      <c r="C50" s="1139"/>
      <c r="D50" s="93"/>
      <c r="E50" s="90"/>
      <c r="F50" s="93"/>
      <c r="G50" s="187"/>
      <c r="H50" s="1111">
        <f>'Assessment Sheet'!$G$73+'Assessment Sheet'!$J$41+'Assessment Sheet'!J179</f>
        <v>0</v>
      </c>
      <c r="I50" s="1111"/>
      <c r="J50" s="1112"/>
    </row>
    <row r="51" spans="1:19" ht="12" customHeight="1">
      <c r="A51" s="694">
        <v>7</v>
      </c>
      <c r="B51" s="1167" t="s">
        <v>33</v>
      </c>
      <c r="C51" s="1167"/>
      <c r="D51" s="372"/>
      <c r="E51" s="372"/>
      <c r="F51" s="372"/>
      <c r="G51" s="373"/>
      <c r="H51" s="1165">
        <f>SUM(H45:J50)</f>
        <v>0</v>
      </c>
      <c r="I51" s="1165"/>
      <c r="J51" s="1166"/>
    </row>
    <row r="52" spans="1:19" ht="12" customHeight="1">
      <c r="A52" s="681">
        <v>8</v>
      </c>
      <c r="B52" s="1140" t="s">
        <v>712</v>
      </c>
      <c r="C52" s="1140"/>
      <c r="D52" s="1140"/>
      <c r="E52" s="1141"/>
      <c r="F52" s="1150" t="s">
        <v>175</v>
      </c>
      <c r="G52" s="1151"/>
      <c r="H52" s="1142">
        <f>IF('Data Entry'!I17="No",0,IF(F52="No",0,IF(AND('Data Entry'!I17="Yes",F52="Yes"),IF('Data Entry'!B8="PRIVATE CAR",MAX(500,MIN(ROUND(H51*0.05,0),2500)),IF('Data Entry'!B8="TWO WHEELER",MAX(250,MIN(ROUND(H51*0.05,0),1000)),0)))))</f>
        <v>0</v>
      </c>
      <c r="I52" s="1142"/>
      <c r="J52" s="1143"/>
      <c r="K52" s="183"/>
      <c r="L52" s="183"/>
      <c r="M52" s="183"/>
      <c r="N52" s="183"/>
      <c r="O52" s="183"/>
      <c r="P52" s="183"/>
      <c r="Q52" s="183"/>
      <c r="R52" s="183"/>
      <c r="S52" s="183"/>
    </row>
    <row r="53" spans="1:19" ht="12" customHeight="1">
      <c r="A53" s="102">
        <v>9</v>
      </c>
      <c r="B53" s="1139" t="s">
        <v>159</v>
      </c>
      <c r="C53" s="1139"/>
      <c r="D53" s="1139"/>
      <c r="E53" s="90"/>
      <c r="F53" s="93"/>
      <c r="G53" s="187"/>
      <c r="H53" s="1135"/>
      <c r="I53" s="1135"/>
      <c r="J53" s="1136"/>
      <c r="K53" s="183"/>
      <c r="L53" s="183"/>
      <c r="M53" s="183"/>
      <c r="N53" s="183"/>
      <c r="O53" s="183"/>
      <c r="P53" s="183"/>
      <c r="Q53" s="183"/>
      <c r="R53" s="183"/>
      <c r="S53" s="183"/>
    </row>
    <row r="54" spans="1:19" ht="12" customHeight="1">
      <c r="A54" s="102">
        <v>10</v>
      </c>
      <c r="B54" s="1139" t="s">
        <v>160</v>
      </c>
      <c r="C54" s="1139"/>
      <c r="D54" s="1139"/>
      <c r="E54" s="90"/>
      <c r="F54" s="93"/>
      <c r="G54" s="187"/>
      <c r="H54" s="1111">
        <f>'Data Entry'!$B$16</f>
        <v>1000</v>
      </c>
      <c r="I54" s="1111"/>
      <c r="J54" s="1112"/>
      <c r="K54" s="183"/>
      <c r="L54" s="183"/>
      <c r="M54" s="183"/>
      <c r="N54" s="183"/>
      <c r="O54" s="183"/>
      <c r="P54" s="183"/>
      <c r="Q54" s="183"/>
      <c r="R54" s="183"/>
      <c r="S54" s="183"/>
    </row>
    <row r="55" spans="1:19" ht="12" customHeight="1">
      <c r="A55" s="102">
        <v>11</v>
      </c>
      <c r="B55" s="1139" t="s">
        <v>186</v>
      </c>
      <c r="C55" s="1139"/>
      <c r="D55" s="1139"/>
      <c r="E55" s="90"/>
      <c r="F55" s="93"/>
      <c r="G55" s="187"/>
      <c r="H55" s="1111">
        <f>'Data Entry'!$B$14</f>
        <v>0</v>
      </c>
      <c r="I55" s="1111"/>
      <c r="J55" s="1112"/>
      <c r="K55" s="183"/>
      <c r="L55" s="183"/>
      <c r="M55" s="183"/>
      <c r="N55" s="183"/>
      <c r="O55" s="183"/>
      <c r="P55" s="183"/>
      <c r="Q55" s="183"/>
      <c r="R55" s="183"/>
      <c r="S55" s="183"/>
    </row>
    <row r="56" spans="1:19" ht="12" customHeight="1">
      <c r="A56" s="102">
        <v>12</v>
      </c>
      <c r="B56" s="1139" t="s">
        <v>187</v>
      </c>
      <c r="C56" s="1139"/>
      <c r="D56" s="1139"/>
      <c r="E56" s="90"/>
      <c r="F56" s="93"/>
      <c r="G56" s="187"/>
      <c r="H56" s="1111">
        <f>'Data Entry'!$B$15</f>
        <v>0</v>
      </c>
      <c r="I56" s="1111"/>
      <c r="J56" s="1112"/>
      <c r="K56" s="183"/>
      <c r="L56" s="183"/>
      <c r="M56" s="183"/>
      <c r="N56" s="183"/>
      <c r="O56" s="183"/>
      <c r="P56" s="183"/>
      <c r="Q56" s="183"/>
      <c r="R56" s="183"/>
      <c r="S56" s="183"/>
    </row>
    <row r="57" spans="1:19" ht="12" customHeight="1" thickBot="1">
      <c r="A57" s="186">
        <v>13</v>
      </c>
      <c r="B57" s="1102" t="s">
        <v>31</v>
      </c>
      <c r="C57" s="1102"/>
      <c r="D57" s="184"/>
      <c r="E57" s="185"/>
      <c r="F57" s="184"/>
      <c r="G57" s="188"/>
      <c r="H57" s="1156"/>
      <c r="I57" s="1156"/>
      <c r="J57" s="1157"/>
      <c r="K57" s="150"/>
      <c r="L57" s="582"/>
      <c r="M57" s="150"/>
      <c r="N57" s="150"/>
      <c r="O57" s="150"/>
      <c r="P57" s="150"/>
      <c r="Q57" s="150"/>
      <c r="R57" s="150"/>
      <c r="S57" s="150"/>
    </row>
    <row r="58" spans="1:19" ht="12" customHeight="1" thickBot="1">
      <c r="A58" s="1147" t="s">
        <v>707</v>
      </c>
      <c r="B58" s="1148"/>
      <c r="C58" s="1149"/>
      <c r="D58" s="1123" t="s">
        <v>706</v>
      </c>
      <c r="E58" s="1124"/>
      <c r="F58" s="690"/>
      <c r="G58" s="691" t="s">
        <v>709</v>
      </c>
      <c r="H58" s="1168">
        <f>IF((H51-SUM(H52:J57))&gt;I16,"Assessment Exceeds IDV",(H51-SUM(H52:J57)))</f>
        <v>-1000</v>
      </c>
      <c r="I58" s="1169"/>
      <c r="J58" s="1170"/>
      <c r="K58" s="150"/>
      <c r="L58" s="150"/>
      <c r="M58" s="150"/>
      <c r="N58" s="150"/>
      <c r="O58" s="150"/>
      <c r="P58" s="150"/>
      <c r="Q58" s="150"/>
      <c r="R58" s="150"/>
      <c r="S58" s="150"/>
    </row>
    <row r="59" spans="1:19" ht="13.5" customHeight="1" thickBot="1">
      <c r="A59" s="1103" t="s">
        <v>139</v>
      </c>
      <c r="B59" s="1104"/>
      <c r="C59" s="1105"/>
      <c r="D59" s="1107"/>
      <c r="E59" s="1107"/>
      <c r="F59" s="1133" t="s">
        <v>708</v>
      </c>
      <c r="G59" s="1134"/>
      <c r="H59" s="1130">
        <f>IF((H51-SUM(H52:J57))&gt;I16,"Assessment Exceeds IDV",ROUND(MIN(H58,(D60-D59)),0))</f>
        <v>-1000</v>
      </c>
      <c r="I59" s="1131"/>
      <c r="J59" s="1132"/>
      <c r="N59" s="226"/>
    </row>
    <row r="60" spans="1:19" ht="13.5" customHeight="1">
      <c r="A60" s="1116" t="str">
        <f>IF(D58="Pre-Invoice","Pre-Invoice Amount", "Invoice Amount")</f>
        <v>Pre-Invoice Amount</v>
      </c>
      <c r="B60" s="1117"/>
      <c r="C60" s="1118"/>
      <c r="D60" s="1106">
        <v>23047</v>
      </c>
      <c r="E60" s="1106"/>
      <c r="F60" s="1145"/>
      <c r="G60" s="1146"/>
      <c r="H60" s="1144"/>
      <c r="I60" s="1144"/>
      <c r="J60" s="1144"/>
      <c r="N60" s="226"/>
    </row>
    <row r="61" spans="1:19" ht="12" customHeight="1" thickBot="1">
      <c r="A61" s="1108" t="str">
        <f>IF(D58="Pre-Invoice","Pre-Invoice Number", "Invoice Number")</f>
        <v>Pre-Invoice Number</v>
      </c>
      <c r="B61" s="1109"/>
      <c r="C61" s="1110"/>
      <c r="D61" s="1106" t="s">
        <v>830</v>
      </c>
      <c r="E61" s="1106"/>
      <c r="F61" s="1119" t="str">
        <f>IF(D58="Pre-Invoice","Pre-Invoice Date", "Invoice Date")</f>
        <v>Pre-Invoice Date</v>
      </c>
      <c r="G61" s="1120"/>
      <c r="H61" s="1121"/>
      <c r="I61" s="1122">
        <v>45977</v>
      </c>
      <c r="J61" s="1122"/>
      <c r="N61" s="189"/>
      <c r="O61" s="189"/>
      <c r="P61" s="189"/>
      <c r="Q61" s="189"/>
    </row>
    <row r="62" spans="1:19" ht="12" customHeight="1" thickBot="1">
      <c r="A62" s="1153" t="str">
        <f>IF(D58="Pre-Invoice","Customer's Liability   ","Difference in Assesment   ")</f>
        <v xml:space="preserve">Customer's Liability   </v>
      </c>
      <c r="B62" s="1154"/>
      <c r="C62" s="1154"/>
      <c r="D62" s="1154"/>
      <c r="E62" s="1154"/>
      <c r="F62" s="1154"/>
      <c r="G62" s="1154"/>
      <c r="H62" s="1155"/>
      <c r="I62" s="1100">
        <f>(D60-D59)-H58</f>
        <v>24047</v>
      </c>
      <c r="J62" s="1101"/>
      <c r="N62" s="227"/>
      <c r="O62" s="91"/>
      <c r="P62" s="91"/>
      <c r="Q62" s="91"/>
    </row>
    <row r="63" spans="1:19" ht="12" customHeight="1" thickBot="1">
      <c r="A63" s="1128" t="s">
        <v>253</v>
      </c>
      <c r="B63" s="1129"/>
      <c r="C63" s="1125" t="s">
        <v>802</v>
      </c>
      <c r="D63" s="1126"/>
      <c r="E63" s="1126"/>
      <c r="F63" s="1126"/>
      <c r="G63" s="1126"/>
      <c r="H63" s="1126"/>
      <c r="I63" s="1126"/>
      <c r="J63" s="1127"/>
    </row>
    <row r="64" spans="1:19" ht="12" customHeight="1">
      <c r="A64" s="1152" t="s">
        <v>181</v>
      </c>
      <c r="B64" s="1152"/>
      <c r="C64" s="1152"/>
      <c r="D64" s="1152"/>
      <c r="E64" s="1152"/>
      <c r="F64" s="1152"/>
      <c r="G64" s="1152"/>
      <c r="H64" s="1152"/>
      <c r="I64" s="1152"/>
      <c r="J64" s="1152"/>
    </row>
    <row r="66" spans="1:2" ht="12" customHeight="1">
      <c r="A66" s="1237" t="s">
        <v>191</v>
      </c>
      <c r="B66" s="1237"/>
    </row>
    <row r="67" spans="1:2" ht="15.75" customHeight="1">
      <c r="A67" s="1238" t="s">
        <v>193</v>
      </c>
      <c r="B67" s="1238"/>
    </row>
    <row r="68" spans="1:2" ht="12" customHeight="1">
      <c r="A68" s="679"/>
      <c r="B68" s="679"/>
    </row>
    <row r="69" spans="1:2" ht="12" customHeight="1">
      <c r="A69" s="679"/>
      <c r="B69" s="679"/>
    </row>
    <row r="70" spans="1:2" ht="12" customHeight="1">
      <c r="A70" s="9"/>
      <c r="B70" s="9"/>
    </row>
    <row r="71" spans="1:2" ht="12" customHeight="1">
      <c r="A71" s="1239" t="s">
        <v>192</v>
      </c>
      <c r="B71" s="1239"/>
    </row>
  </sheetData>
  <sheetProtection sheet="1" objects="1" scenarios="1" formatCells="0" formatColumns="0" formatRows="0" insertColumns="0" insertRows="0" insertHyperlinks="0" deleteColumns="0" deleteRows="0" sort="0" autoFilter="0" pivotTables="0"/>
  <dataConsolidate link="1"/>
  <customSheetViews>
    <customSheetView guid="{90D8D907-8142-40B5-8083-592E26272F1C}" fitToPage="1">
      <selection activeCell="I1" sqref="I1"/>
      <pageMargins left="0.82677165354330717" right="0.19685039370078741" top="0.35433070866141736" bottom="0.11811023622047245" header="0.31496062992125984" footer="0.31496062992125984"/>
      <pageSetup paperSize="9" scale="79" orientation="portrait" r:id="rId1"/>
    </customSheetView>
  </customSheetViews>
  <mergeCells count="136">
    <mergeCell ref="A66:B66"/>
    <mergeCell ref="A67:B67"/>
    <mergeCell ref="A71:B71"/>
    <mergeCell ref="A16:B16"/>
    <mergeCell ref="A7:B7"/>
    <mergeCell ref="G7:H7"/>
    <mergeCell ref="I7:J7"/>
    <mergeCell ref="A8:B8"/>
    <mergeCell ref="C7:F7"/>
    <mergeCell ref="A10:B10"/>
    <mergeCell ref="A9:B9"/>
    <mergeCell ref="A11:B11"/>
    <mergeCell ref="G14:H14"/>
    <mergeCell ref="G16:H16"/>
    <mergeCell ref="G15:H15"/>
    <mergeCell ref="A14:B14"/>
    <mergeCell ref="I15:J15"/>
    <mergeCell ref="I16:J16"/>
    <mergeCell ref="C16:F16"/>
    <mergeCell ref="E13:F13"/>
    <mergeCell ref="A25:B25"/>
    <mergeCell ref="C25:J25"/>
    <mergeCell ref="I19:J19"/>
    <mergeCell ref="A19:B19"/>
    <mergeCell ref="M19:N19"/>
    <mergeCell ref="L23:V30"/>
    <mergeCell ref="I28:J28"/>
    <mergeCell ref="C28:F28"/>
    <mergeCell ref="C14:F14"/>
    <mergeCell ref="I14:J14"/>
    <mergeCell ref="G12:H12"/>
    <mergeCell ref="I12:J12"/>
    <mergeCell ref="C1:J4"/>
    <mergeCell ref="C8:E8"/>
    <mergeCell ref="C10:E10"/>
    <mergeCell ref="C9:E9"/>
    <mergeCell ref="C11:E11"/>
    <mergeCell ref="I8:J8"/>
    <mergeCell ref="F9:H9"/>
    <mergeCell ref="F10:H10"/>
    <mergeCell ref="F11:H11"/>
    <mergeCell ref="I9:J9"/>
    <mergeCell ref="I10:J10"/>
    <mergeCell ref="I11:J11"/>
    <mergeCell ref="F8:H8"/>
    <mergeCell ref="A6:J6"/>
    <mergeCell ref="C15:D15"/>
    <mergeCell ref="A15:B15"/>
    <mergeCell ref="G21:H21"/>
    <mergeCell ref="C24:D24"/>
    <mergeCell ref="A31:D31"/>
    <mergeCell ref="I21:J21"/>
    <mergeCell ref="A24:B24"/>
    <mergeCell ref="A23:B23"/>
    <mergeCell ref="C20:D20"/>
    <mergeCell ref="G19:H19"/>
    <mergeCell ref="A20:B20"/>
    <mergeCell ref="G20:H20"/>
    <mergeCell ref="C19:D19"/>
    <mergeCell ref="I20:J20"/>
    <mergeCell ref="C23:F23"/>
    <mergeCell ref="G23:H24"/>
    <mergeCell ref="I23:J24"/>
    <mergeCell ref="A64:J64"/>
    <mergeCell ref="B56:D56"/>
    <mergeCell ref="B55:D55"/>
    <mergeCell ref="A62:H62"/>
    <mergeCell ref="B47:C47"/>
    <mergeCell ref="B45:C45"/>
    <mergeCell ref="B46:C46"/>
    <mergeCell ref="H57:J57"/>
    <mergeCell ref="A28:B28"/>
    <mergeCell ref="C29:F29"/>
    <mergeCell ref="A29:B29"/>
    <mergeCell ref="I29:J29"/>
    <mergeCell ref="G29:H29"/>
    <mergeCell ref="G28:H28"/>
    <mergeCell ref="H54:J54"/>
    <mergeCell ref="H53:J53"/>
    <mergeCell ref="H51:J51"/>
    <mergeCell ref="H50:J50"/>
    <mergeCell ref="B54:D54"/>
    <mergeCell ref="B53:D53"/>
    <mergeCell ref="B51:C51"/>
    <mergeCell ref="B50:C50"/>
    <mergeCell ref="H58:J58"/>
    <mergeCell ref="G31:H31"/>
    <mergeCell ref="C63:J63"/>
    <mergeCell ref="A63:B63"/>
    <mergeCell ref="H59:J59"/>
    <mergeCell ref="F59:G59"/>
    <mergeCell ref="H49:J49"/>
    <mergeCell ref="H48:J48"/>
    <mergeCell ref="H47:J47"/>
    <mergeCell ref="H45:J45"/>
    <mergeCell ref="H46:J46"/>
    <mergeCell ref="B49:C49"/>
    <mergeCell ref="B48:C48"/>
    <mergeCell ref="B52:E52"/>
    <mergeCell ref="H52:J52"/>
    <mergeCell ref="H60:J60"/>
    <mergeCell ref="F60:G60"/>
    <mergeCell ref="A58:C58"/>
    <mergeCell ref="F52:G52"/>
    <mergeCell ref="F43:G43"/>
    <mergeCell ref="B44:G44"/>
    <mergeCell ref="I62:J62"/>
    <mergeCell ref="B57:C57"/>
    <mergeCell ref="A59:C59"/>
    <mergeCell ref="D60:E60"/>
    <mergeCell ref="D59:E59"/>
    <mergeCell ref="A61:C61"/>
    <mergeCell ref="H56:J56"/>
    <mergeCell ref="H55:J55"/>
    <mergeCell ref="H44:J44"/>
    <mergeCell ref="A60:C60"/>
    <mergeCell ref="D61:E61"/>
    <mergeCell ref="F61:H61"/>
    <mergeCell ref="I61:J61"/>
    <mergeCell ref="D58:E58"/>
    <mergeCell ref="D37:E37"/>
    <mergeCell ref="D38:E38"/>
    <mergeCell ref="D39:E39"/>
    <mergeCell ref="D40:E40"/>
    <mergeCell ref="D41:E41"/>
    <mergeCell ref="D42:E42"/>
    <mergeCell ref="D34:E34"/>
    <mergeCell ref="D35:E35"/>
    <mergeCell ref="F34:G34"/>
    <mergeCell ref="F35:G35"/>
    <mergeCell ref="F37:G37"/>
    <mergeCell ref="F38:G38"/>
    <mergeCell ref="F39:G39"/>
    <mergeCell ref="F40:G40"/>
    <mergeCell ref="F41:G41"/>
    <mergeCell ref="F42:G42"/>
  </mergeCells>
  <conditionalFormatting sqref="H59:J59">
    <cfRule type="expression" dxfId="12" priority="5">
      <formula>AND($I$62&gt;200,$C$63="",$D$58&lt;&gt;"Pre-Invoice")</formula>
    </cfRule>
  </conditionalFormatting>
  <conditionalFormatting sqref="A59:E59">
    <cfRule type="expression" dxfId="11" priority="1">
      <formula>AND($D$58="Pre-Invoice")</formula>
    </cfRule>
  </conditionalFormatting>
  <conditionalFormatting sqref="H58:J58">
    <cfRule type="expression" dxfId="10" priority="10">
      <formula>AND((H51-SUM(H52:J57))&gt;I16)</formula>
    </cfRule>
  </conditionalFormatting>
  <dataValidations disablePrompts="1" count="2">
    <dataValidation type="list" allowBlank="1" showInputMessage="1" showErrorMessage="1" sqref="F52:G52">
      <formula1>"[Select],Yes,No"</formula1>
    </dataValidation>
    <dataValidation type="list" showInputMessage="1" showErrorMessage="1" errorTitle="Warning" error="Please Select &quot;Invoice&quot; or &quot;Pre-Invoice&quot;" sqref="D58:E58">
      <formula1>"Invoice,Pre-Invoice"</formula1>
    </dataValidation>
  </dataValidations>
  <pageMargins left="0.70866141732283505" right="0" top="0.35433070866141703" bottom="0.39370078740157499" header="0.31496062992126" footer="0.196850393700787"/>
  <pageSetup paperSize="9" scale="89" orientation="portrait" r:id="rId2"/>
  <headerFooter>
    <oddFooter>&amp;LVer 4.1&amp;RFor National Insurance Use Only</oddFooter>
  </headerFooter>
  <drawing r:id="rId3"/>
</worksheet>
</file>

<file path=xl/worksheets/sheet7.xml><?xml version="1.0" encoding="utf-8"?>
<worksheet xmlns="http://schemas.openxmlformats.org/spreadsheetml/2006/main" xmlns:r="http://schemas.openxmlformats.org/officeDocument/2006/relationships">
  <sheetPr codeName="Sheet2">
    <pageSetUpPr fitToPage="1"/>
  </sheetPr>
  <dimension ref="A1:Q51"/>
  <sheetViews>
    <sheetView workbookViewId="0">
      <selection activeCell="G14" sqref="G14:Q17"/>
    </sheetView>
  </sheetViews>
  <sheetFormatPr defaultRowHeight="15"/>
  <cols>
    <col min="1" max="1" width="20.42578125" style="1" customWidth="1"/>
    <col min="2" max="2" width="18.5703125" style="1" customWidth="1"/>
    <col min="3" max="3" width="17.28515625" style="6" customWidth="1"/>
    <col min="4" max="4" width="18.28515625" style="1" customWidth="1"/>
    <col min="5" max="5" width="17.5703125" style="11" customWidth="1"/>
    <col min="6" max="16384" width="9.140625" style="1"/>
  </cols>
  <sheetData>
    <row r="1" spans="1:17">
      <c r="A1" s="1306" t="s">
        <v>138</v>
      </c>
      <c r="B1" s="1307"/>
      <c r="C1" s="1307"/>
      <c r="D1" s="1307"/>
      <c r="E1" s="1308"/>
    </row>
    <row r="2" spans="1:17">
      <c r="A2" s="1309"/>
      <c r="B2" s="1310"/>
      <c r="C2" s="1310"/>
      <c r="D2" s="1310"/>
      <c r="E2" s="1311"/>
    </row>
    <row r="3" spans="1:17">
      <c r="A3" s="703" t="s">
        <v>655</v>
      </c>
      <c r="B3" s="411" t="str">
        <f>'Data Entry'!$H2</f>
        <v>Report-0000/24-25</v>
      </c>
      <c r="C3" s="704" t="s">
        <v>635</v>
      </c>
      <c r="D3" s="1272" t="str">
        <f>'Data Entry'!B73</f>
        <v>Not Appiled</v>
      </c>
      <c r="E3" s="1273"/>
    </row>
    <row r="4" spans="1:17">
      <c r="A4" s="703" t="s">
        <v>145</v>
      </c>
      <c r="B4" s="1313" t="str">
        <f>'Data Entry'!$H$1</f>
        <v>DKS/ Aasth Honda/March/2024-2025</v>
      </c>
      <c r="C4" s="1314"/>
      <c r="D4" s="703" t="s">
        <v>637</v>
      </c>
      <c r="E4" s="78" t="str">
        <f>IF('Data Entry'!$H$3&lt;&gt;"",'Data Entry'!$H$3,"")</f>
        <v/>
      </c>
    </row>
    <row r="5" spans="1:17">
      <c r="A5" s="706" t="s">
        <v>6</v>
      </c>
      <c r="B5" s="1317" t="str">
        <f>'Data Entry'!$B$60</f>
        <v>Dilip Kumar Sinha</v>
      </c>
      <c r="C5" s="1318"/>
      <c r="D5" s="707" t="s">
        <v>42</v>
      </c>
      <c r="E5" s="254">
        <f>'Data Entry'!B66</f>
        <v>63315</v>
      </c>
    </row>
    <row r="6" spans="1:17">
      <c r="A6" s="707" t="str">
        <f>'Data Entry'!A68</f>
        <v>Bank Name</v>
      </c>
      <c r="B6" s="384" t="str">
        <f>'Data Entry'!$B$68</f>
        <v>State Bank of India</v>
      </c>
      <c r="C6" s="385" t="str">
        <f>'Data Entry'!$B$69</f>
        <v>Hanuman Nagar Br.</v>
      </c>
      <c r="D6" s="707" t="str">
        <f>'Data Entry'!$A$70</f>
        <v>IFSC Code</v>
      </c>
      <c r="E6" s="255" t="str">
        <f>'Data Entry'!$B$70</f>
        <v>SBIN0009005</v>
      </c>
    </row>
    <row r="7" spans="1:17" ht="15.75">
      <c r="A7" s="706" t="str">
        <f>'Data Entry'!A71</f>
        <v>Bank A/c Number</v>
      </c>
      <c r="B7" s="1315">
        <f>'Data Entry'!$B$71</f>
        <v>20019295926</v>
      </c>
      <c r="C7" s="1316"/>
      <c r="D7" s="707" t="str">
        <f>'Data Entry'!$A$72</f>
        <v>PAN Detail</v>
      </c>
      <c r="E7" s="256" t="str">
        <f>'Data Entry'!$B$72</f>
        <v>APZPS2395Q</v>
      </c>
    </row>
    <row r="8" spans="1:17">
      <c r="A8" s="1312" t="s">
        <v>15</v>
      </c>
      <c r="B8" s="1312"/>
      <c r="C8" s="75">
        <f>'Data Entry'!$B$44</f>
        <v>0</v>
      </c>
      <c r="D8" s="711" t="s">
        <v>624</v>
      </c>
      <c r="E8" s="77">
        <f>'Data Entry'!$B$67</f>
        <v>46469</v>
      </c>
      <c r="F8" s="76"/>
      <c r="G8" s="76"/>
    </row>
    <row r="9" spans="1:17">
      <c r="A9" s="708" t="s">
        <v>17</v>
      </c>
      <c r="B9" s="1270" t="str">
        <f>'Data Entry'!$B$45</f>
        <v>Aastha Honda Patna</v>
      </c>
      <c r="C9" s="1271"/>
      <c r="D9" s="708" t="s">
        <v>16</v>
      </c>
      <c r="E9" s="77">
        <f>'Data Entry'!$B$43</f>
        <v>0</v>
      </c>
    </row>
    <row r="10" spans="1:17">
      <c r="A10" s="709" t="s">
        <v>252</v>
      </c>
      <c r="B10" s="1319" t="str">
        <f>'Data Entry'!$B$5</f>
        <v xml:space="preserve">Mr. </v>
      </c>
      <c r="C10" s="1320"/>
      <c r="D10" s="710" t="s">
        <v>665</v>
      </c>
      <c r="E10" s="201">
        <f>'Data Entry'!$B$4</f>
        <v>0</v>
      </c>
    </row>
    <row r="11" spans="1:17">
      <c r="A11" s="710" t="s">
        <v>251</v>
      </c>
      <c r="B11" s="1324">
        <f>'Data Entry'!$B$3</f>
        <v>0</v>
      </c>
      <c r="C11" s="1324"/>
      <c r="D11" s="712" t="s">
        <v>8</v>
      </c>
      <c r="E11" s="194">
        <f>'Data Entry'!$B$42</f>
        <v>0</v>
      </c>
      <c r="F11" s="32"/>
    </row>
    <row r="12" spans="1:17">
      <c r="A12" s="709" t="s">
        <v>7</v>
      </c>
      <c r="B12" s="1323">
        <f>'Data Entry'!$B$18</f>
        <v>0</v>
      </c>
      <c r="C12" s="1323"/>
      <c r="D12" s="709" t="s">
        <v>4</v>
      </c>
      <c r="E12" s="195">
        <f>'Data Entry'!$B$41</f>
        <v>0</v>
      </c>
    </row>
    <row r="13" spans="1:17">
      <c r="A13" s="24"/>
      <c r="B13" s="3"/>
      <c r="C13" s="4"/>
      <c r="D13" s="2"/>
      <c r="E13" s="29" t="s">
        <v>9</v>
      </c>
    </row>
    <row r="14" spans="1:17">
      <c r="A14" s="31" t="s">
        <v>5</v>
      </c>
      <c r="B14" s="3"/>
      <c r="C14" s="4"/>
      <c r="D14" s="3"/>
      <c r="E14" s="30"/>
      <c r="G14" s="1275" t="s">
        <v>529</v>
      </c>
      <c r="H14" s="1275"/>
      <c r="I14" s="1275"/>
      <c r="J14" s="1275"/>
      <c r="K14" s="1275"/>
      <c r="L14" s="1275"/>
      <c r="M14" s="1275"/>
      <c r="N14" s="1275"/>
      <c r="O14" s="1275"/>
      <c r="P14" s="1275"/>
      <c r="Q14" s="1275"/>
    </row>
    <row r="15" spans="1:17">
      <c r="A15" s="1302" t="str">
        <f>IF('Data Entry'!$B$41="","Survey Fee Not Payable. Please Enter Estimated Loss in Data Entry Sheet.","Survey Fee")</f>
        <v>Survey Fee Not Payable. Please Enter Estimated Loss in Data Entry Sheet.</v>
      </c>
      <c r="B15" s="1302"/>
      <c r="C15" s="1302"/>
      <c r="D15" s="1302"/>
      <c r="E15" s="196">
        <f>IF('Data Entry'!$B$41="",0,IF(E12&gt;200000,MIN(SUM(2800+((E12-200000)*0.7%)),12000),IF(E12&gt;100000,2800,IF(E12&gt;50000,1800,IF(E12&gt;20000,1500,850)))))</f>
        <v>0</v>
      </c>
      <c r="G15" s="1275"/>
      <c r="H15" s="1275"/>
      <c r="I15" s="1275"/>
      <c r="J15" s="1275"/>
      <c r="K15" s="1275"/>
      <c r="L15" s="1275"/>
      <c r="M15" s="1275"/>
      <c r="N15" s="1275"/>
      <c r="O15" s="1275"/>
      <c r="P15" s="1275"/>
      <c r="Q15" s="1275"/>
    </row>
    <row r="16" spans="1:17">
      <c r="A16" s="713" t="s">
        <v>135</v>
      </c>
      <c r="B16" s="395">
        <f>'Data Entry'!B50</f>
        <v>0</v>
      </c>
      <c r="C16" s="1326" t="s">
        <v>71</v>
      </c>
      <c r="D16" s="1327"/>
      <c r="E16" s="197">
        <f>IF(OR(C16="Not Applicable",C16=""),0,IF(C16="Below 80Kms",1000,1500))</f>
        <v>0</v>
      </c>
      <c r="G16" s="1275"/>
      <c r="H16" s="1275"/>
      <c r="I16" s="1275"/>
      <c r="J16" s="1275"/>
      <c r="K16" s="1275"/>
      <c r="L16" s="1275"/>
      <c r="M16" s="1275"/>
      <c r="N16" s="1275"/>
      <c r="O16" s="1275"/>
      <c r="P16" s="1275"/>
      <c r="Q16" s="1275"/>
    </row>
    <row r="17" spans="1:17">
      <c r="A17" s="713" t="s">
        <v>134</v>
      </c>
      <c r="B17" s="395">
        <f>'Data Entry'!B51</f>
        <v>0</v>
      </c>
      <c r="C17" s="1326" t="s">
        <v>71</v>
      </c>
      <c r="D17" s="1327"/>
      <c r="E17" s="197">
        <f>IF(C17="Not Applicable",0,IF(C17="Below 80Kms",1000,1500))</f>
        <v>0</v>
      </c>
      <c r="G17" s="1275"/>
      <c r="H17" s="1275"/>
      <c r="I17" s="1275"/>
      <c r="J17" s="1275"/>
      <c r="K17" s="1275"/>
      <c r="L17" s="1275"/>
      <c r="M17" s="1275"/>
      <c r="N17" s="1275"/>
      <c r="O17" s="1275"/>
      <c r="P17" s="1275"/>
      <c r="Q17" s="1275"/>
    </row>
    <row r="18" spans="1:17">
      <c r="A18" s="24"/>
      <c r="B18" s="3"/>
      <c r="C18" s="28"/>
      <c r="D18" s="3"/>
      <c r="E18" s="33"/>
    </row>
    <row r="19" spans="1:17">
      <c r="A19" s="398" t="s">
        <v>61</v>
      </c>
      <c r="B19" s="3"/>
      <c r="C19" s="4"/>
      <c r="D19" s="3"/>
      <c r="E19" s="33"/>
    </row>
    <row r="20" spans="1:17">
      <c r="A20" s="1322" t="str">
        <f>'Data Entry'!F5</f>
        <v>Total No of Survey Jobs Allotted</v>
      </c>
      <c r="B20" s="1322"/>
      <c r="C20" s="484">
        <f>'Data Entry'!$H$5</f>
        <v>1</v>
      </c>
      <c r="D20" s="3"/>
      <c r="E20" s="33"/>
    </row>
    <row r="21" spans="1:17" ht="24" customHeight="1">
      <c r="A21" s="1303" t="str">
        <f>IF('Data Entry'!$H$5="","Local Conveyance Not Payable. Please Enter Number of Surveys Alloted in Data Entry Sheet.","Local Conveyance")</f>
        <v>Local Conveyance</v>
      </c>
      <c r="B21" s="1304"/>
      <c r="C21" s="1304"/>
      <c r="D21" s="1305"/>
      <c r="E21" s="198">
        <f>IF('Data Entry'!$H$5="",0,ROUND(IF('Data Entry'!$H$7="A",750,375)/'Data Entry'!$H$5,0))</f>
        <v>750</v>
      </c>
      <c r="G21" s="73"/>
    </row>
    <row r="22" spans="1:17">
      <c r="A22" s="713" t="s">
        <v>60</v>
      </c>
      <c r="B22" s="1298"/>
      <c r="C22" s="1299"/>
      <c r="D22" s="1299"/>
      <c r="E22" s="199"/>
    </row>
    <row r="23" spans="1:17">
      <c r="A23" s="24"/>
      <c r="B23" s="5"/>
      <c r="C23" s="4"/>
      <c r="D23" s="3"/>
      <c r="E23" s="33"/>
      <c r="I23" s="397"/>
    </row>
    <row r="24" spans="1:17">
      <c r="A24" s="25" t="s">
        <v>11</v>
      </c>
      <c r="B24" s="3"/>
      <c r="C24" s="4"/>
      <c r="D24" s="3"/>
      <c r="E24" s="33"/>
    </row>
    <row r="25" spans="1:17">
      <c r="A25" s="1276" t="s">
        <v>71</v>
      </c>
      <c r="B25" s="1277"/>
      <c r="C25" s="1277"/>
      <c r="D25" s="1278"/>
      <c r="E25" s="198">
        <f>IF(A25="Not Applicable",0,IF(A25="Half-a-day",250,500))</f>
        <v>0</v>
      </c>
    </row>
    <row r="26" spans="1:17">
      <c r="A26" s="1276" t="s">
        <v>71</v>
      </c>
      <c r="B26" s="1277"/>
      <c r="C26" s="1277"/>
      <c r="D26" s="1278"/>
      <c r="E26" s="198">
        <f>IF(A26="Not Applicable",0,IF(A26="Half-a-day",200,400))</f>
        <v>0</v>
      </c>
    </row>
    <row r="27" spans="1:17">
      <c r="A27" s="24"/>
      <c r="B27" s="3"/>
      <c r="C27" s="4"/>
      <c r="D27" s="3"/>
      <c r="E27" s="33"/>
    </row>
    <row r="28" spans="1:17">
      <c r="A28" s="8" t="s">
        <v>12</v>
      </c>
      <c r="B28" s="7"/>
      <c r="C28" s="26"/>
      <c r="D28" s="27"/>
      <c r="E28" s="34"/>
    </row>
    <row r="29" spans="1:17">
      <c r="A29" s="714" t="s">
        <v>172</v>
      </c>
      <c r="B29" s="37"/>
      <c r="C29" s="35">
        <v>10</v>
      </c>
      <c r="D29" s="36" t="s">
        <v>154</v>
      </c>
      <c r="E29" s="200">
        <f>IF((B29*C29)&gt;200,200,B29*C29)</f>
        <v>0</v>
      </c>
    </row>
    <row r="30" spans="1:17">
      <c r="A30" s="714" t="s">
        <v>608</v>
      </c>
      <c r="B30" s="37"/>
      <c r="C30" s="35">
        <v>10</v>
      </c>
      <c r="D30" s="36" t="s">
        <v>154</v>
      </c>
      <c r="E30" s="200">
        <f>IF(E17=0,0,IF((B30*C30)&gt;100,100,B30*C30))</f>
        <v>0</v>
      </c>
    </row>
    <row r="31" spans="1:17">
      <c r="A31" s="714" t="s">
        <v>136</v>
      </c>
      <c r="B31" s="20"/>
      <c r="C31" s="21"/>
      <c r="D31" s="22"/>
      <c r="E31" s="199">
        <v>0</v>
      </c>
    </row>
    <row r="32" spans="1:17">
      <c r="A32" s="24"/>
      <c r="B32" s="3"/>
      <c r="C32" s="4"/>
      <c r="D32" s="3"/>
      <c r="E32" s="33"/>
    </row>
    <row r="33" spans="1:6">
      <c r="A33" s="1300" t="s">
        <v>13</v>
      </c>
      <c r="B33" s="1301"/>
      <c r="C33" s="4"/>
      <c r="D33" s="3"/>
      <c r="E33" s="33"/>
    </row>
    <row r="34" spans="1:6">
      <c r="A34" s="1302" t="s">
        <v>14</v>
      </c>
      <c r="B34" s="1302"/>
      <c r="C34" s="1302"/>
      <c r="D34" s="1302"/>
      <c r="E34" s="199">
        <v>0</v>
      </c>
    </row>
    <row r="35" spans="1:6">
      <c r="A35" s="713" t="s">
        <v>10</v>
      </c>
      <c r="B35" s="1292"/>
      <c r="C35" s="1292"/>
      <c r="D35" s="1293"/>
      <c r="E35" s="199">
        <v>0</v>
      </c>
    </row>
    <row r="36" spans="1:6">
      <c r="A36" s="1294"/>
      <c r="B36" s="1295"/>
      <c r="C36" s="1295"/>
      <c r="D36" s="3"/>
      <c r="E36" s="33"/>
    </row>
    <row r="37" spans="1:6" ht="15.75">
      <c r="A37" s="1288" t="s">
        <v>56</v>
      </c>
      <c r="B37" s="1289"/>
      <c r="C37" s="1289"/>
      <c r="D37" s="1289"/>
      <c r="E37" s="241">
        <f>IF('Processing Sheet'!H59="Pls Comment abt difference","Pls comment abt diffrences in assesment sheet",SUM(E13:E36))</f>
        <v>750</v>
      </c>
    </row>
    <row r="38" spans="1:6" ht="15.75">
      <c r="A38" s="1328" t="s">
        <v>654</v>
      </c>
      <c r="B38" s="1329"/>
      <c r="C38" s="1329"/>
      <c r="D38" s="705" t="s">
        <v>175</v>
      </c>
      <c r="E38" s="241">
        <f>IF(D38="Yes",E37*'Data Entry'!B77,0)</f>
        <v>0</v>
      </c>
    </row>
    <row r="39" spans="1:6" ht="15" customHeight="1">
      <c r="A39" s="1279" t="s">
        <v>155</v>
      </c>
      <c r="B39" s="1280"/>
      <c r="C39" s="1280"/>
      <c r="D39" s="1281"/>
      <c r="E39" s="1290">
        <f>ROUND(E37+E38,0)</f>
        <v>750</v>
      </c>
    </row>
    <row r="40" spans="1:6" ht="15" customHeight="1">
      <c r="A40" s="1282"/>
      <c r="B40" s="1283"/>
      <c r="C40" s="1283"/>
      <c r="D40" s="1284"/>
      <c r="E40" s="1290"/>
    </row>
    <row r="41" spans="1:6">
      <c r="A41" s="1285"/>
      <c r="B41" s="1286"/>
      <c r="C41" s="1286"/>
      <c r="D41" s="1287"/>
      <c r="E41" s="1291"/>
    </row>
    <row r="42" spans="1:6">
      <c r="A42" s="1296"/>
      <c r="B42" s="1297"/>
      <c r="C42" s="1297"/>
      <c r="D42" s="1297"/>
      <c r="E42" s="1297"/>
    </row>
    <row r="43" spans="1:6" ht="15.75">
      <c r="A43" s="1321" t="s">
        <v>191</v>
      </c>
      <c r="B43" s="1321"/>
      <c r="F43" s="54"/>
    </row>
    <row r="44" spans="1:6" ht="24.75" customHeight="1">
      <c r="A44" s="1238" t="s">
        <v>193</v>
      </c>
      <c r="B44" s="1238"/>
      <c r="E44" s="23"/>
    </row>
    <row r="45" spans="1:6" ht="15.75" customHeight="1">
      <c r="A45" s="378"/>
      <c r="B45" s="378"/>
      <c r="E45" s="23"/>
    </row>
    <row r="46" spans="1:6" ht="16.5" customHeight="1">
      <c r="A46" s="378"/>
      <c r="B46" s="378"/>
      <c r="E46" s="23"/>
    </row>
    <row r="47" spans="1:6" ht="14.25" customHeight="1">
      <c r="A47" s="9"/>
      <c r="B47" s="9"/>
      <c r="D47" s="1325" t="s">
        <v>216</v>
      </c>
      <c r="E47" s="1325"/>
    </row>
    <row r="48" spans="1:6" ht="23.25" customHeight="1">
      <c r="A48" s="1239" t="s">
        <v>192</v>
      </c>
      <c r="B48" s="1239"/>
      <c r="E48" s="23"/>
    </row>
    <row r="49" spans="1:5">
      <c r="A49" s="9"/>
      <c r="B49" s="9"/>
      <c r="C49" s="1274" t="s">
        <v>181</v>
      </c>
      <c r="D49" s="1274"/>
      <c r="E49" s="1274"/>
    </row>
    <row r="50" spans="1:5">
      <c r="A50" s="9"/>
      <c r="B50" s="9"/>
      <c r="C50" s="9"/>
      <c r="D50" s="9"/>
      <c r="E50" s="23"/>
    </row>
    <row r="51" spans="1:5">
      <c r="A51" s="9"/>
      <c r="B51" s="9"/>
      <c r="C51" s="9"/>
    </row>
  </sheetData>
  <sheetProtection sheet="1" formatCells="0" formatColumns="0" formatRows="0" insertColumns="0" insertRows="0" insertHyperlinks="0" deleteColumns="0" deleteRows="0" sort="0" autoFilter="0" pivotTables="0"/>
  <customSheetViews>
    <customSheetView guid="{90D8D907-8142-40B5-8083-592E26272F1C}">
      <selection activeCell="F2" sqref="F2"/>
      <pageMargins left="0.62992125984251968" right="0.19685039370078741" top="0.74803149606299213" bottom="0.74803149606299213" header="0.31496062992125984" footer="0.31496062992125984"/>
      <pageSetup orientation="portrait" r:id="rId1"/>
    </customSheetView>
  </customSheetViews>
  <mergeCells count="33">
    <mergeCell ref="B10:C10"/>
    <mergeCell ref="A43:B43"/>
    <mergeCell ref="A44:B44"/>
    <mergeCell ref="A48:B48"/>
    <mergeCell ref="A20:B20"/>
    <mergeCell ref="A15:D15"/>
    <mergeCell ref="B12:C12"/>
    <mergeCell ref="B11:C11"/>
    <mergeCell ref="D47:E47"/>
    <mergeCell ref="C16:D16"/>
    <mergeCell ref="C17:D17"/>
    <mergeCell ref="A38:C38"/>
    <mergeCell ref="A1:E2"/>
    <mergeCell ref="A8:B8"/>
    <mergeCell ref="B4:C4"/>
    <mergeCell ref="B7:C7"/>
    <mergeCell ref="B5:C5"/>
    <mergeCell ref="B9:C9"/>
    <mergeCell ref="D3:E3"/>
    <mergeCell ref="C49:E49"/>
    <mergeCell ref="G14:Q17"/>
    <mergeCell ref="A25:D25"/>
    <mergeCell ref="A26:D26"/>
    <mergeCell ref="A39:D41"/>
    <mergeCell ref="A37:D37"/>
    <mergeCell ref="E39:E41"/>
    <mergeCell ref="B35:D35"/>
    <mergeCell ref="A36:C36"/>
    <mergeCell ref="A42:E42"/>
    <mergeCell ref="B22:D22"/>
    <mergeCell ref="A33:B33"/>
    <mergeCell ref="A34:D34"/>
    <mergeCell ref="A21:D21"/>
  </mergeCells>
  <dataValidations count="12">
    <dataValidation type="custom" errorStyle="warning" allowBlank="1" showInputMessage="1" showErrorMessage="1" errorTitle="Dont delete" error="Dont delete the contents of this cell. &#10;Survey Fee calculation formula is hidden here. " promptTitle="Survey fee formula" prompt="The survey fee calculation formula is backuped here.  Don't delete this cell.  If you accidentally delete the contents of Cell &quot;E16&quot;, you can restore the formula from this cell to that cell.  " sqref="E14">
      <formula1>IF(E12&gt;200000,MIN(SUM(2000+((E12-200000)*0.5%)),7000),IF(E12&gt;100000,1700,IF(E12&gt;50000,1100,IF(E12&gt;20000,900,600))))</formula1>
    </dataValidation>
    <dataValidation allowBlank="1" showInputMessage="1" promptTitle="Enter rate per photo" prompt="Enter rate per photo claimed" sqref="C29:C31"/>
    <dataValidation allowBlank="1" showInputMessage="1" promptTitle="Enter no. of photos" prompt="Enter the number of photos taken and submitted." sqref="B29:B31"/>
    <dataValidation type="custom" errorStyle="warning" allowBlank="1" showInputMessage="1" showErrorMessage="1" errorTitle="Dont delete" error="Dont delete the contents of this cell. &#10;Survey Fee calculation formula is hidden here. " promptTitle="Survey fee formula" prompt="The survey fee calculation is automatic here.  Don't delete this cell.  If you accidentally delete the contents of this Cell, you can restore the formula from E18 cell to this cell.  " sqref="E15">
      <formula1>"Report'!G93&gt;50000,1100,IF('Main Report'!G93&gt;20000,900,600))))"</formula1>
    </dataValidation>
    <dataValidation type="custom" errorStyle="warning" allowBlank="1" showInputMessage="1" showErrorMessage="1" errorTitle="Dont delete" error="Dont delete the contents of this cell. &#10;Survey Fee calculation formula is hidden here. " promptTitle="Survey fee formula" prompt="The survey fee calculation formula is backuped here.  Don't delete this cell.  If you accidentally delete the contents of Cell &quot;E20&quot;, you can restore the formula from this cell to that cell.  " sqref="E13">
      <formula1>"Report'!G93&gt;50000,1100,IF('Main Report'!G93&gt;20000,900,600))))"</formula1>
    </dataValidation>
    <dataValidation type="custom" errorStyle="warning" allowBlank="1" showInputMessage="1" showErrorMessage="1" errorTitle="Dont delete" error="Dont delete the contents of this cell. &#10;Survey Fee calculation formula is hidden here. " promptTitle="Survey fee formula" prompt="The survey fee calculation formula is backuped here.  Don't delete this cell.  If you accidentally delete the contents of Cell &quot;E18&quot;, you can restore the formula from this cell to that cell.  " sqref="D13">
      <formula1>"Report'!G93&gt;50000,1100,IF('Main Report'!G93&gt;20000,900,600))))"</formula1>
    </dataValidation>
    <dataValidation type="decimal" errorStyle="information" allowBlank="1" showInputMessage="1" showErrorMessage="1" errorTitle="Check Local Conveyance" error="It should be less than 500" promptTitle="Check Local Conveyance" prompt="It should be less than 500" sqref="E21">
      <formula1>0</formula1>
      <formula2>600</formula2>
    </dataValidation>
    <dataValidation type="list" allowBlank="1" showInputMessage="1" sqref="A25:C26">
      <formula1>"Half-a-day,One full day,Not Applicable"</formula1>
    </dataValidation>
    <dataValidation type="list" allowBlank="1" showInputMessage="1" showErrorMessage="1" sqref="C16:C17">
      <formula1>"Not Applicable, Below 80Kms, Above 80Kms"</formula1>
    </dataValidation>
    <dataValidation type="whole" allowBlank="1" showInputMessage="1" showErrorMessage="1" error="It cannot be greater than Rs.1000" sqref="E31">
      <formula1>0</formula1>
      <formula2>1000</formula2>
    </dataValidation>
    <dataValidation type="whole" showInputMessage="1" showErrorMessage="1" error="Please enter number of jobs alloted at that particular site. It cannot be less than 1." prompt="Please enter the number of jobs alloted at the site.&#10;" sqref="F43">
      <formula1>1</formula1>
      <formula2>15</formula2>
    </dataValidation>
    <dataValidation type="list" allowBlank="1" showInputMessage="1" showErrorMessage="1" sqref="D38">
      <formula1>"Yes,No"</formula1>
    </dataValidation>
  </dataValidations>
  <printOptions horizontalCentered="1"/>
  <pageMargins left="0.62992125984252001" right="0.196850393700787" top="0.43307086614173201" bottom="0.43307086614173201" header="0.31496062992126" footer="0.31496062992126"/>
  <pageSetup paperSize="9" orientation="portrait" r:id="rId2"/>
  <headerFooter>
    <oddFooter>&amp;LVer 4.1</oddFooter>
  </headerFooter>
</worksheet>
</file>

<file path=xl/worksheets/sheet8.xml><?xml version="1.0" encoding="utf-8"?>
<worksheet xmlns="http://schemas.openxmlformats.org/spreadsheetml/2006/main" xmlns:r="http://schemas.openxmlformats.org/officeDocument/2006/relationships">
  <sheetPr codeName="Sheet4"/>
  <dimension ref="A1:Q470"/>
  <sheetViews>
    <sheetView topLeftCell="A64" workbookViewId="0">
      <selection activeCell="A91" sqref="A91:B108"/>
    </sheetView>
  </sheetViews>
  <sheetFormatPr defaultRowHeight="11.25" customHeight="1"/>
  <cols>
    <col min="1" max="1" width="22.85546875" style="39" customWidth="1"/>
    <col min="2" max="2" width="15" style="39" customWidth="1"/>
    <col min="3" max="3" width="11.42578125" style="39" customWidth="1"/>
    <col min="4" max="4" width="19.85546875" style="39" customWidth="1"/>
    <col min="5" max="5" width="20" style="39" customWidth="1"/>
    <col min="6" max="6" width="11" style="39" bestFit="1" customWidth="1"/>
    <col min="7" max="16384" width="9.140625" style="39"/>
  </cols>
  <sheetData>
    <row r="1" spans="1:17" ht="29.25" customHeight="1">
      <c r="A1" s="1437" t="str">
        <f>'Data Entry'!$B$60</f>
        <v>Dilip Kumar Sinha</v>
      </c>
      <c r="B1" s="1437"/>
      <c r="C1" s="1437"/>
      <c r="D1" s="1460" t="str">
        <f>'Data Entry'!$B$61</f>
        <v>V/477, Vidyapuri, Kankarbagh, Patna-800020</v>
      </c>
      <c r="E1" s="1460"/>
    </row>
    <row r="2" spans="1:17" ht="11.25" customHeight="1">
      <c r="A2" s="1461" t="s">
        <v>40</v>
      </c>
      <c r="B2" s="1461"/>
      <c r="C2" s="40"/>
      <c r="D2" s="40" t="s">
        <v>77</v>
      </c>
      <c r="E2" s="41">
        <f>'Data Entry'!$B$63</f>
        <v>9334110636</v>
      </c>
    </row>
    <row r="3" spans="1:17" ht="11.25" customHeight="1">
      <c r="A3" s="40" t="s">
        <v>78</v>
      </c>
      <c r="B3" s="1461">
        <f>'Data Entry'!$B$66</f>
        <v>63315</v>
      </c>
      <c r="C3" s="1461"/>
      <c r="D3" s="40" t="s">
        <v>80</v>
      </c>
      <c r="E3" s="42">
        <f>'Data Entry'!$B$67</f>
        <v>46469</v>
      </c>
    </row>
    <row r="4" spans="1:17" ht="11.25" customHeight="1">
      <c r="A4" s="40" t="s">
        <v>81</v>
      </c>
      <c r="B4" s="1461" t="str">
        <f>'Data Entry'!$B$65</f>
        <v>dilipsinha11k@gmail.com</v>
      </c>
      <c r="C4" s="1461"/>
      <c r="D4" s="40" t="s">
        <v>79</v>
      </c>
      <c r="E4" s="41">
        <f>'Data Entry'!$B$64</f>
        <v>0</v>
      </c>
    </row>
    <row r="5" spans="1:17" ht="18" customHeight="1">
      <c r="A5" s="1418" t="s">
        <v>39</v>
      </c>
      <c r="B5" s="1418"/>
      <c r="C5" s="1418"/>
      <c r="D5" s="1418"/>
      <c r="E5" s="1418"/>
      <c r="G5" s="44" t="s">
        <v>147</v>
      </c>
      <c r="H5" s="45"/>
      <c r="I5" s="45"/>
    </row>
    <row r="6" spans="1:17" ht="11.25" customHeight="1">
      <c r="F6" s="51"/>
      <c r="G6" s="51"/>
      <c r="H6" s="51"/>
      <c r="I6" s="51"/>
      <c r="J6" s="51"/>
      <c r="K6" s="51"/>
      <c r="L6" s="51"/>
      <c r="M6" s="51"/>
      <c r="N6" s="51"/>
      <c r="O6" s="51"/>
      <c r="P6" s="51"/>
      <c r="Q6" s="51"/>
    </row>
    <row r="7" spans="1:17" ht="11.25" customHeight="1">
      <c r="A7" s="46" t="s">
        <v>145</v>
      </c>
      <c r="B7" s="1462" t="str">
        <f>'Data Entry'!$H$1</f>
        <v>DKS/ Aasth Honda/March/2024-2025</v>
      </c>
      <c r="C7" s="1463"/>
      <c r="D7" s="47" t="s">
        <v>146</v>
      </c>
      <c r="E7" s="48" t="str">
        <f>IF('Data Entry'!$H$3&lt;&gt;"",'Data Entry'!$H$3,"")</f>
        <v/>
      </c>
      <c r="F7" s="51"/>
      <c r="G7" s="51"/>
      <c r="H7" s="51"/>
      <c r="I7" s="51"/>
      <c r="J7" s="51"/>
      <c r="K7" s="51"/>
      <c r="L7" s="51"/>
      <c r="M7" s="51"/>
      <c r="N7" s="51"/>
      <c r="O7" s="51"/>
      <c r="P7" s="51"/>
      <c r="Q7" s="51"/>
    </row>
    <row r="8" spans="1:17" ht="11.25" customHeight="1">
      <c r="A8" s="715" t="str">
        <f>'Data Entry'!$B$8</f>
        <v>PRIVATE CAR</v>
      </c>
      <c r="B8" s="716"/>
      <c r="C8" s="1426" t="str">
        <f>IF('Data Entry'!I15="Yes","Engine Protected Policy","")</f>
        <v>Engine Protected Policy</v>
      </c>
      <c r="D8" s="1426"/>
      <c r="E8" s="717" t="str">
        <f>IF('Data Entry'!I17="No","Normal Policy","Zero Dep.Policy")</f>
        <v>Zero Dep.Policy</v>
      </c>
      <c r="F8" s="51"/>
      <c r="G8" s="51"/>
      <c r="H8" s="51"/>
      <c r="I8" s="51"/>
      <c r="J8" s="51"/>
      <c r="K8" s="51"/>
      <c r="L8" s="51"/>
      <c r="M8" s="51"/>
      <c r="N8" s="51"/>
      <c r="O8" s="51"/>
      <c r="P8" s="51"/>
      <c r="Q8" s="51"/>
    </row>
    <row r="9" spans="1:17" ht="11.25" customHeight="1">
      <c r="A9" s="1420" t="s">
        <v>749</v>
      </c>
      <c r="B9" s="1420"/>
      <c r="C9" s="1420"/>
      <c r="D9" s="1420"/>
      <c r="E9" s="1420"/>
      <c r="F9" s="51"/>
      <c r="G9" s="51"/>
      <c r="H9" s="51"/>
      <c r="I9" s="51"/>
      <c r="J9" s="51"/>
      <c r="K9" s="51"/>
      <c r="L9" s="51"/>
      <c r="M9" s="51"/>
      <c r="N9" s="51"/>
      <c r="O9" s="51"/>
      <c r="P9" s="51"/>
      <c r="Q9" s="51"/>
    </row>
    <row r="10" spans="1:17" ht="11.25" customHeight="1">
      <c r="A10" s="1420"/>
      <c r="B10" s="1420"/>
      <c r="C10" s="1420"/>
      <c r="D10" s="1420"/>
      <c r="E10" s="1420"/>
      <c r="F10" s="51"/>
      <c r="G10" s="1330" t="s">
        <v>529</v>
      </c>
      <c r="H10" s="1330"/>
      <c r="I10" s="1330"/>
      <c r="J10" s="1330"/>
      <c r="K10" s="1330"/>
      <c r="L10" s="1330"/>
      <c r="M10" s="1330"/>
      <c r="N10" s="1330"/>
      <c r="O10" s="1330"/>
      <c r="P10" s="1330"/>
      <c r="Q10" s="1330"/>
    </row>
    <row r="11" spans="1:17" ht="22.5" customHeight="1" thickBot="1">
      <c r="A11" s="1420"/>
      <c r="B11" s="1420"/>
      <c r="C11" s="1420"/>
      <c r="D11" s="1420"/>
      <c r="E11" s="1420"/>
      <c r="F11" s="51"/>
      <c r="G11" s="1330"/>
      <c r="H11" s="1330"/>
      <c r="I11" s="1330"/>
      <c r="J11" s="1330"/>
      <c r="K11" s="1330"/>
      <c r="L11" s="1330"/>
      <c r="M11" s="1330"/>
      <c r="N11" s="1330"/>
      <c r="O11" s="1330"/>
      <c r="P11" s="1330"/>
      <c r="Q11" s="1330"/>
    </row>
    <row r="12" spans="1:17" ht="11.25" customHeight="1" thickBot="1">
      <c r="A12" s="723" t="s">
        <v>663</v>
      </c>
      <c r="B12" s="1430"/>
      <c r="C12" s="1430"/>
      <c r="D12" s="1430"/>
      <c r="E12" s="724" t="str">
        <f>'Data Entry'!G10</f>
        <v>New Policy</v>
      </c>
      <c r="F12" s="51"/>
      <c r="G12" s="1330"/>
      <c r="H12" s="1330"/>
      <c r="I12" s="1330"/>
      <c r="J12" s="1330"/>
      <c r="K12" s="1330"/>
      <c r="L12" s="1330"/>
      <c r="M12" s="1330"/>
      <c r="N12" s="1330"/>
      <c r="O12" s="1330"/>
      <c r="P12" s="1330"/>
      <c r="Q12" s="1330"/>
    </row>
    <row r="13" spans="1:17" ht="12.75">
      <c r="A13" s="731" t="s">
        <v>82</v>
      </c>
      <c r="B13" s="1422" t="s">
        <v>46</v>
      </c>
      <c r="C13" s="1422"/>
      <c r="D13" s="731" t="s">
        <v>188</v>
      </c>
      <c r="E13" s="730">
        <f>'Data Entry'!$B$11</f>
        <v>0</v>
      </c>
      <c r="F13" s="51"/>
      <c r="G13" s="1330"/>
      <c r="H13" s="1330"/>
      <c r="I13" s="1330"/>
      <c r="J13" s="1330"/>
      <c r="K13" s="1330"/>
      <c r="L13" s="1330"/>
      <c r="M13" s="1330"/>
      <c r="N13" s="1330"/>
      <c r="O13" s="1330"/>
      <c r="P13" s="1330"/>
      <c r="Q13" s="1330"/>
    </row>
    <row r="14" spans="1:17" ht="11.25" customHeight="1">
      <c r="A14" s="732" t="s">
        <v>83</v>
      </c>
      <c r="B14" s="1352" t="str">
        <f>'Data Entry'!$B$5</f>
        <v xml:space="preserve">Mr. </v>
      </c>
      <c r="C14" s="1352"/>
      <c r="D14" s="732" t="s">
        <v>275</v>
      </c>
      <c r="E14" s="674">
        <f>'Data Entry'!B6</f>
        <v>0</v>
      </c>
      <c r="F14" s="51"/>
      <c r="G14" s="51"/>
      <c r="H14" s="51"/>
      <c r="I14" s="51"/>
      <c r="J14" s="51"/>
      <c r="K14" s="51"/>
      <c r="L14" s="51"/>
      <c r="M14" s="51"/>
      <c r="N14" s="51"/>
      <c r="O14" s="51"/>
      <c r="P14" s="51"/>
      <c r="Q14" s="51"/>
    </row>
    <row r="15" spans="1:17" s="86" customFormat="1" ht="11.25" customHeight="1">
      <c r="A15" s="732" t="s">
        <v>276</v>
      </c>
      <c r="B15" s="1419" t="str">
        <f>IF('Data Entry'!$B$7&lt;&gt;"",'Data Entry'!$B$7,"")</f>
        <v/>
      </c>
      <c r="C15" s="1419"/>
      <c r="D15" s="732" t="s">
        <v>84</v>
      </c>
      <c r="E15" s="674">
        <f>'Data Entry'!$B$4</f>
        <v>0</v>
      </c>
      <c r="F15" s="51"/>
      <c r="G15" s="51"/>
      <c r="H15" s="51"/>
      <c r="I15" s="51"/>
      <c r="J15" s="51"/>
      <c r="K15" s="51"/>
      <c r="L15" s="51"/>
      <c r="M15" s="51"/>
      <c r="N15" s="51"/>
      <c r="O15" s="51"/>
      <c r="P15" s="51"/>
      <c r="Q15" s="51"/>
    </row>
    <row r="16" spans="1:17" ht="11.25" customHeight="1">
      <c r="A16" s="733" t="s">
        <v>73</v>
      </c>
      <c r="B16" s="728">
        <f>'Data Entry'!$B$10</f>
        <v>0</v>
      </c>
      <c r="C16" s="729">
        <f>'Data Entry'!$D$10</f>
        <v>0</v>
      </c>
      <c r="D16" s="732" t="str">
        <f>'Data Entry'!$A$3</f>
        <v xml:space="preserve"> CLAIM NUMBER</v>
      </c>
      <c r="E16" s="674">
        <f>'Data Entry'!$B$3</f>
        <v>0</v>
      </c>
      <c r="F16" s="51"/>
      <c r="G16" s="51"/>
      <c r="H16" s="51"/>
      <c r="I16" s="51"/>
      <c r="J16" s="51"/>
      <c r="K16" s="51"/>
      <c r="L16" s="51"/>
      <c r="M16" s="51"/>
      <c r="N16" s="51"/>
      <c r="O16" s="51"/>
      <c r="P16" s="51"/>
      <c r="Q16" s="51"/>
    </row>
    <row r="17" spans="1:17" s="86" customFormat="1" ht="11.25" customHeight="1">
      <c r="A17" s="733" t="s">
        <v>703</v>
      </c>
      <c r="B17" s="1429" t="str">
        <f>IF('Data Entry'!$B$9&lt;&gt;"",'Data Entry'!$B$9,"Not Appilcable")</f>
        <v>Not Appilcable</v>
      </c>
      <c r="C17" s="1429"/>
      <c r="D17" s="1429"/>
      <c r="E17" s="1429"/>
      <c r="F17" s="51"/>
      <c r="G17" s="51"/>
      <c r="H17" s="51"/>
      <c r="I17" s="51"/>
      <c r="J17" s="51"/>
      <c r="K17" s="51"/>
      <c r="L17" s="51"/>
      <c r="M17" s="51"/>
      <c r="N17" s="51"/>
      <c r="O17" s="51"/>
      <c r="P17" s="51"/>
      <c r="Q17" s="51"/>
    </row>
    <row r="18" spans="1:17" ht="11.25" customHeight="1" thickBot="1">
      <c r="E18" s="43"/>
      <c r="F18" s="51"/>
      <c r="G18" s="51"/>
      <c r="H18" s="51"/>
      <c r="I18" s="51"/>
      <c r="J18" s="51"/>
      <c r="K18" s="51"/>
      <c r="L18" s="51"/>
      <c r="M18" s="51"/>
      <c r="N18" s="51"/>
      <c r="O18" s="51"/>
      <c r="P18" s="51"/>
      <c r="Q18" s="51"/>
    </row>
    <row r="19" spans="1:17" ht="11.25" customHeight="1" thickBot="1">
      <c r="A19" s="723" t="s">
        <v>85</v>
      </c>
      <c r="B19" s="1431"/>
      <c r="C19" s="1431"/>
      <c r="D19" s="1431"/>
      <c r="E19" s="724" t="str">
        <f>PROPER('Data Entry'!B8)</f>
        <v>Private Car</v>
      </c>
      <c r="F19" s="51"/>
      <c r="G19" s="51"/>
      <c r="H19" s="51"/>
      <c r="I19" s="51"/>
      <c r="J19" s="51"/>
      <c r="K19" s="51"/>
      <c r="L19" s="51"/>
      <c r="M19" s="51"/>
      <c r="N19" s="51"/>
      <c r="O19" s="51"/>
      <c r="P19" s="51"/>
      <c r="Q19" s="51"/>
    </row>
    <row r="20" spans="1:17" ht="11.25" customHeight="1">
      <c r="A20" s="731" t="s">
        <v>86</v>
      </c>
      <c r="B20" s="1433">
        <f>'Data Entry'!$B$18</f>
        <v>0</v>
      </c>
      <c r="C20" s="1433"/>
      <c r="D20" s="731" t="s">
        <v>87</v>
      </c>
      <c r="E20" s="725" t="str">
        <f>IF('Data Entry'!$B$19&lt;&gt;"",'Data Entry'!$B$19,"")</f>
        <v/>
      </c>
      <c r="F20" s="51"/>
      <c r="G20" s="51"/>
      <c r="H20" s="51"/>
      <c r="I20" s="51"/>
      <c r="J20" s="51"/>
      <c r="K20" s="51"/>
      <c r="L20" s="51"/>
      <c r="M20" s="51"/>
      <c r="N20" s="51"/>
      <c r="O20" s="51"/>
      <c r="P20" s="51"/>
      <c r="Q20" s="51"/>
    </row>
    <row r="21" spans="1:17" ht="11.25" customHeight="1">
      <c r="A21" s="733" t="s">
        <v>88</v>
      </c>
      <c r="B21" s="1419">
        <f>'Data Entry'!$B$21</f>
        <v>0</v>
      </c>
      <c r="C21" s="1419"/>
      <c r="D21" s="733" t="s">
        <v>89</v>
      </c>
      <c r="E21" s="562">
        <f>'Data Entry'!$B$22</f>
        <v>0</v>
      </c>
      <c r="F21" s="51"/>
      <c r="G21" s="51"/>
      <c r="H21" s="51"/>
      <c r="I21" s="51"/>
      <c r="J21" s="51"/>
      <c r="K21" s="51"/>
      <c r="L21" s="51"/>
      <c r="M21" s="51"/>
      <c r="N21" s="51"/>
      <c r="O21" s="51"/>
      <c r="P21" s="51"/>
      <c r="Q21" s="51"/>
    </row>
    <row r="22" spans="1:17" ht="11.25" customHeight="1">
      <c r="A22" s="733" t="s">
        <v>90</v>
      </c>
      <c r="B22" s="1419" t="str">
        <f>'Data Entry'!$B$23</f>
        <v xml:space="preserve">M/S Maruti </v>
      </c>
      <c r="C22" s="1419"/>
      <c r="D22" s="733" t="s">
        <v>91</v>
      </c>
      <c r="E22" s="562" t="str">
        <f>'Data Entry'!$B$33</f>
        <v>Saloon</v>
      </c>
      <c r="F22" s="51"/>
      <c r="G22" s="51"/>
      <c r="H22" s="51"/>
      <c r="I22" s="51"/>
      <c r="J22" s="51"/>
      <c r="K22" s="51"/>
      <c r="L22" s="51"/>
      <c r="M22" s="51"/>
      <c r="N22" s="51"/>
      <c r="O22" s="51"/>
      <c r="P22" s="51"/>
      <c r="Q22" s="51"/>
    </row>
    <row r="23" spans="1:17" ht="11.25" customHeight="1">
      <c r="A23" s="732" t="s">
        <v>92</v>
      </c>
      <c r="B23" s="563">
        <f>'Data Entry'!$B$30</f>
        <v>0</v>
      </c>
      <c r="C23" s="564" t="s">
        <v>68</v>
      </c>
      <c r="D23" s="733" t="s">
        <v>514</v>
      </c>
      <c r="E23" s="565">
        <f>'Data Entry'!$B$24</f>
        <v>0</v>
      </c>
      <c r="F23" s="66"/>
      <c r="G23" s="67"/>
      <c r="H23" s="51"/>
      <c r="I23" s="51"/>
      <c r="J23" s="51"/>
      <c r="K23" s="51"/>
      <c r="L23" s="51"/>
      <c r="M23" s="51"/>
      <c r="N23" s="51"/>
      <c r="O23" s="51"/>
      <c r="P23" s="51"/>
      <c r="Q23" s="51"/>
    </row>
    <row r="24" spans="1:17" ht="11.25" customHeight="1">
      <c r="A24" s="733" t="s">
        <v>47</v>
      </c>
      <c r="B24" s="563">
        <f>'Data Entry'!$B$31</f>
        <v>0</v>
      </c>
      <c r="C24" s="564" t="s">
        <v>69</v>
      </c>
      <c r="D24" s="733" t="s">
        <v>93</v>
      </c>
      <c r="E24" s="561" t="str">
        <f>IF('Data Entry'!$B$32&lt;&gt;"",'Data Entry'!$B$32,"")</f>
        <v>Road-Worthy</v>
      </c>
      <c r="F24" s="51"/>
      <c r="G24" s="51"/>
      <c r="H24" s="51"/>
      <c r="I24" s="51"/>
      <c r="J24" s="51"/>
      <c r="K24" s="51"/>
      <c r="L24" s="51"/>
      <c r="M24" s="51"/>
      <c r="N24" s="51"/>
      <c r="O24" s="51"/>
      <c r="P24" s="51"/>
      <c r="Q24" s="51"/>
    </row>
    <row r="25" spans="1:17" s="86" customFormat="1" ht="11.25" customHeight="1">
      <c r="A25" s="733" t="s">
        <v>94</v>
      </c>
      <c r="B25" s="566">
        <f>'Data Entry'!$B$35</f>
        <v>5</v>
      </c>
      <c r="C25" s="567" t="s">
        <v>70</v>
      </c>
      <c r="D25" s="733" t="s">
        <v>748</v>
      </c>
      <c r="E25" s="108" t="str">
        <f>'Data Entry'!$B$49</f>
        <v>No</v>
      </c>
      <c r="F25" s="51"/>
      <c r="G25" s="51"/>
      <c r="H25" s="51"/>
      <c r="I25" s="51"/>
      <c r="J25" s="51"/>
      <c r="K25" s="51"/>
      <c r="L25" s="51"/>
      <c r="M25" s="51"/>
      <c r="N25" s="51"/>
      <c r="O25" s="51"/>
      <c r="P25" s="51"/>
      <c r="Q25" s="51"/>
    </row>
    <row r="26" spans="1:17" s="86" customFormat="1" ht="11.25" customHeight="1">
      <c r="A26" s="733" t="s">
        <v>681</v>
      </c>
      <c r="B26" s="1427" t="str">
        <f>IF('Data Entry'!$B$25&lt;&gt;"",'Data Entry'!$B$25,"")</f>
        <v>NA</v>
      </c>
      <c r="C26" s="1428"/>
      <c r="D26" s="734" t="s">
        <v>685</v>
      </c>
      <c r="E26" s="564" t="str">
        <f>IF('Data Entry'!$B$26&lt;&gt;"",'Data Entry'!$B$26,"")</f>
        <v>NA</v>
      </c>
      <c r="F26" s="51"/>
      <c r="G26" s="51"/>
      <c r="H26" s="51"/>
      <c r="I26" s="51"/>
      <c r="J26" s="51"/>
      <c r="K26" s="51"/>
      <c r="L26" s="51"/>
      <c r="M26" s="51"/>
      <c r="N26" s="51"/>
      <c r="O26" s="51"/>
      <c r="P26" s="51"/>
      <c r="Q26" s="51"/>
    </row>
    <row r="27" spans="1:17" s="86" customFormat="1" ht="11.25" customHeight="1">
      <c r="A27" s="733" t="s">
        <v>682</v>
      </c>
      <c r="B27" s="574" t="str">
        <f>IF('Data Entry'!$B$27&lt;&gt;"",'Data Entry'!$B$27,"")</f>
        <v>NA</v>
      </c>
      <c r="C27" s="574" t="str">
        <f>IF('Data Entry'!$D$27&lt;&gt;"",'Data Entry'!$D$27,"")</f>
        <v/>
      </c>
      <c r="D27" s="733" t="s">
        <v>683</v>
      </c>
      <c r="E27" s="564" t="str">
        <f>IF('Data Entry'!$B$29&lt;&gt;"",'Data Entry'!$B$29,"")</f>
        <v>NA</v>
      </c>
      <c r="F27" s="51"/>
      <c r="G27" s="51"/>
      <c r="H27" s="51"/>
      <c r="I27" s="51"/>
      <c r="J27" s="51"/>
      <c r="K27" s="51"/>
      <c r="L27" s="51"/>
      <c r="M27" s="51"/>
      <c r="N27" s="51"/>
      <c r="O27" s="51"/>
      <c r="P27" s="51"/>
      <c r="Q27" s="51"/>
    </row>
    <row r="28" spans="1:17" ht="11.25" customHeight="1">
      <c r="A28" s="733" t="s">
        <v>684</v>
      </c>
      <c r="B28" s="574" t="str">
        <f>IF('Data Entry'!$B$28&lt;&gt;"",'Data Entry'!$B$28,"")</f>
        <v/>
      </c>
      <c r="C28" s="574" t="str">
        <f>IF('Data Entry'!$D$28&lt;&gt;"",'Data Entry'!$D$28,"")</f>
        <v/>
      </c>
      <c r="D28" s="733" t="s">
        <v>686</v>
      </c>
      <c r="E28" s="572" t="str">
        <f>IF('Data Entry'!$B$13&lt;&gt;"",'Data Entry'!$B$13,"Pls Enter Endt Nos.")</f>
        <v>7,10,28,16</v>
      </c>
      <c r="F28" s="51"/>
      <c r="G28" s="51"/>
      <c r="H28" s="51"/>
      <c r="I28" s="51"/>
      <c r="J28" s="51"/>
      <c r="K28" s="51"/>
      <c r="L28" s="51"/>
      <c r="M28" s="51"/>
      <c r="N28" s="51"/>
      <c r="O28" s="51"/>
      <c r="P28" s="51"/>
      <c r="Q28" s="51"/>
    </row>
    <row r="29" spans="1:17" ht="11.25" customHeight="1" thickBot="1">
      <c r="F29" s="51"/>
      <c r="G29" s="51"/>
      <c r="H29" s="51"/>
      <c r="I29" s="51"/>
      <c r="J29" s="51"/>
      <c r="K29" s="51"/>
      <c r="L29" s="51"/>
      <c r="M29" s="51"/>
      <c r="N29" s="51"/>
      <c r="O29" s="51"/>
      <c r="P29" s="51"/>
      <c r="Q29" s="51"/>
    </row>
    <row r="30" spans="1:17" ht="11.25" customHeight="1" thickBot="1">
      <c r="A30" s="1423" t="s">
        <v>95</v>
      </c>
      <c r="B30" s="1424"/>
      <c r="C30" s="1424"/>
      <c r="D30" s="1424"/>
      <c r="E30" s="1425"/>
      <c r="F30" s="51"/>
      <c r="G30" s="51"/>
      <c r="H30" s="51"/>
      <c r="I30" s="51"/>
      <c r="J30" s="51"/>
      <c r="K30" s="51"/>
      <c r="L30" s="51"/>
      <c r="M30" s="51"/>
      <c r="N30" s="51"/>
      <c r="O30" s="51"/>
      <c r="P30" s="51"/>
      <c r="Q30" s="51"/>
    </row>
    <row r="31" spans="1:17" ht="12.75" customHeight="1">
      <c r="A31" s="731" t="s">
        <v>96</v>
      </c>
      <c r="B31" s="1421">
        <f>'Data Entry'!$B$53</f>
        <v>0</v>
      </c>
      <c r="C31" s="1421"/>
      <c r="D31" s="731" t="s">
        <v>97</v>
      </c>
      <c r="E31" s="722">
        <f>'Data Entry'!$B$54</f>
        <v>0</v>
      </c>
      <c r="F31" s="51"/>
      <c r="G31" s="51"/>
      <c r="H31" s="51"/>
      <c r="I31" s="51"/>
      <c r="J31" s="51"/>
      <c r="K31" s="51"/>
      <c r="L31" s="51"/>
      <c r="M31" s="51"/>
      <c r="N31" s="51"/>
      <c r="O31" s="51"/>
      <c r="P31" s="51"/>
      <c r="Q31" s="51"/>
    </row>
    <row r="32" spans="1:17" ht="12" customHeight="1">
      <c r="A32" s="733" t="s">
        <v>98</v>
      </c>
      <c r="B32" s="1432" t="str">
        <f>IF('Data Entry'!$B$56&lt;&gt;"",'Data Entry'!$B$56,"")</f>
        <v/>
      </c>
      <c r="C32" s="1432"/>
      <c r="D32" s="733" t="s">
        <v>99</v>
      </c>
      <c r="E32" s="561" t="str">
        <f>IF('Data Entry'!$B$55&lt;&gt;"",'Data Entry'!$B$55,"")</f>
        <v/>
      </c>
      <c r="F32" s="51"/>
      <c r="G32" s="51"/>
      <c r="H32" s="51"/>
      <c r="I32" s="51"/>
      <c r="J32" s="51"/>
      <c r="K32" s="51"/>
      <c r="L32" s="51"/>
      <c r="M32" s="51"/>
      <c r="N32" s="51"/>
      <c r="O32" s="51"/>
      <c r="P32" s="51"/>
      <c r="Q32" s="51"/>
    </row>
    <row r="33" spans="1:17" ht="24" customHeight="1">
      <c r="A33" s="733" t="s">
        <v>100</v>
      </c>
      <c r="B33" s="1352" t="str">
        <f>'Data Entry'!$B$57</f>
        <v>D.T.O Patna</v>
      </c>
      <c r="C33" s="1352"/>
      <c r="D33" s="733" t="s">
        <v>101</v>
      </c>
      <c r="E33" s="568" t="str">
        <f>'Data Entry'!$B$58</f>
        <v>MCWG/LMV : Light Motor Vehicle &amp; Motor Cycle with Gear</v>
      </c>
      <c r="F33" s="51"/>
      <c r="G33" s="51"/>
      <c r="H33" s="51"/>
      <c r="I33" s="51"/>
      <c r="J33" s="51"/>
      <c r="K33" s="51"/>
      <c r="L33" s="51"/>
      <c r="M33" s="51"/>
      <c r="N33" s="51"/>
      <c r="O33" s="51"/>
      <c r="P33" s="51"/>
      <c r="Q33" s="51"/>
    </row>
    <row r="34" spans="1:17" ht="11.25" customHeight="1" thickBot="1">
      <c r="F34" s="51"/>
      <c r="G34" s="51"/>
      <c r="H34" s="51"/>
      <c r="I34" s="51"/>
      <c r="J34" s="51"/>
      <c r="K34" s="51"/>
      <c r="L34" s="51"/>
      <c r="M34" s="51"/>
      <c r="N34" s="51"/>
      <c r="O34" s="51"/>
      <c r="P34" s="51"/>
      <c r="Q34" s="51"/>
    </row>
    <row r="35" spans="1:17" ht="11.25" customHeight="1" thickBot="1">
      <c r="A35" s="719" t="s">
        <v>102</v>
      </c>
      <c r="B35" s="720"/>
      <c r="C35" s="720"/>
      <c r="D35" s="720"/>
      <c r="E35" s="721"/>
      <c r="F35" s="51"/>
      <c r="G35" s="51"/>
      <c r="H35" s="51"/>
      <c r="I35" s="51"/>
      <c r="J35" s="51"/>
      <c r="K35" s="51"/>
      <c r="L35" s="51"/>
      <c r="M35" s="51"/>
      <c r="N35" s="51"/>
      <c r="O35" s="51"/>
      <c r="P35" s="51"/>
      <c r="Q35" s="51"/>
    </row>
    <row r="36" spans="1:17" ht="11.25" customHeight="1">
      <c r="A36" s="735" t="s">
        <v>103</v>
      </c>
      <c r="B36" s="1353" t="str">
        <f>IF('Data Entry'!$B$38&lt;&gt;"",'Data Entry'!$B$38,"")</f>
        <v/>
      </c>
      <c r="C36" s="1354"/>
      <c r="D36" s="735" t="s">
        <v>107</v>
      </c>
      <c r="E36" s="718" t="str">
        <f>IF('Data Entry'!$B$43&lt;&gt;"",'Data Entry'!$B$43,"")</f>
        <v/>
      </c>
      <c r="F36" s="228"/>
      <c r="I36" s="51"/>
      <c r="J36" s="51"/>
      <c r="K36" s="51"/>
      <c r="L36" s="51"/>
      <c r="M36" s="51"/>
      <c r="N36" s="51"/>
      <c r="O36" s="51"/>
      <c r="P36" s="51"/>
      <c r="Q36" s="51"/>
    </row>
    <row r="37" spans="1:17" ht="11.25" customHeight="1">
      <c r="A37" s="736" t="s">
        <v>105</v>
      </c>
      <c r="B37" s="1336" t="str">
        <f>IF('Data Entry'!$B$44&lt;&gt;"",'Data Entry'!$B$44,"")</f>
        <v/>
      </c>
      <c r="C37" s="1337"/>
      <c r="D37" s="736" t="s">
        <v>108</v>
      </c>
      <c r="E37" s="370" t="str">
        <f>IF('Data Entry'!$B$51&lt;&gt;"",'Data Entry'!$B$51,"")</f>
        <v/>
      </c>
      <c r="F37" s="228"/>
      <c r="I37" s="51"/>
      <c r="J37" s="51"/>
      <c r="K37" s="51"/>
      <c r="L37" s="51"/>
      <c r="M37" s="51"/>
      <c r="N37" s="51"/>
      <c r="O37" s="51"/>
      <c r="P37" s="51"/>
      <c r="Q37" s="51"/>
    </row>
    <row r="38" spans="1:17" ht="11.25" customHeight="1" thickBot="1">
      <c r="A38" s="736" t="s">
        <v>104</v>
      </c>
      <c r="B38" s="1373">
        <f>'Data Entry'!$B$39</f>
        <v>0</v>
      </c>
      <c r="C38" s="1374"/>
      <c r="D38" s="738" t="s">
        <v>530</v>
      </c>
      <c r="E38" s="371">
        <f>'Data Entry'!B12</f>
        <v>1</v>
      </c>
      <c r="F38" s="51"/>
      <c r="G38" s="51"/>
      <c r="H38" s="51"/>
      <c r="I38" s="51"/>
      <c r="J38" s="51"/>
      <c r="K38" s="51"/>
      <c r="L38" s="51"/>
      <c r="M38" s="51"/>
      <c r="N38" s="51"/>
      <c r="O38" s="51"/>
      <c r="P38" s="51"/>
      <c r="Q38" s="51"/>
    </row>
    <row r="39" spans="1:17" s="86" customFormat="1" ht="11.25" customHeight="1" thickBot="1">
      <c r="A39" s="737" t="s">
        <v>106</v>
      </c>
      <c r="B39" s="1355" t="str">
        <f>'Data Entry'!$B$45</f>
        <v>Aastha Honda Patna</v>
      </c>
      <c r="C39" s="1356"/>
      <c r="D39" s="1356"/>
      <c r="E39" s="1357"/>
      <c r="F39" s="51"/>
      <c r="G39" s="51"/>
      <c r="H39" s="51"/>
      <c r="I39" s="51"/>
      <c r="J39" s="51"/>
      <c r="K39" s="51"/>
      <c r="L39" s="51"/>
      <c r="M39" s="51"/>
      <c r="N39" s="51"/>
      <c r="O39" s="51"/>
      <c r="P39" s="51"/>
      <c r="Q39" s="51"/>
    </row>
    <row r="40" spans="1:17" ht="11.25" customHeight="1" thickBot="1">
      <c r="F40" s="51"/>
      <c r="G40" s="51"/>
      <c r="H40" s="51"/>
      <c r="I40" s="51"/>
      <c r="J40" s="51"/>
      <c r="K40" s="51"/>
      <c r="L40" s="51"/>
      <c r="M40" s="51"/>
      <c r="N40" s="51"/>
      <c r="O40" s="51"/>
      <c r="P40" s="51"/>
      <c r="Q40" s="51"/>
    </row>
    <row r="41" spans="1:17" ht="11.25" customHeight="1" thickBot="1">
      <c r="A41" s="1423" t="s">
        <v>109</v>
      </c>
      <c r="B41" s="1424"/>
      <c r="C41" s="726"/>
      <c r="D41" s="1358" t="s">
        <v>48</v>
      </c>
      <c r="E41" s="1359"/>
      <c r="F41" s="51"/>
      <c r="G41" s="51"/>
      <c r="H41" s="51"/>
      <c r="I41" s="51"/>
      <c r="J41" s="51"/>
      <c r="K41" s="51"/>
      <c r="L41" s="51"/>
      <c r="M41" s="51"/>
      <c r="N41" s="51"/>
      <c r="O41" s="51"/>
      <c r="P41" s="51"/>
      <c r="Q41" s="51"/>
    </row>
    <row r="42" spans="1:17" ht="11.25" customHeight="1">
      <c r="A42" s="1349" t="s">
        <v>237</v>
      </c>
      <c r="B42" s="1350"/>
      <c r="C42" s="1351"/>
      <c r="D42" s="1360">
        <f>'Assessment Sheet'!I180</f>
        <v>0</v>
      </c>
      <c r="E42" s="1361"/>
      <c r="F42" s="51"/>
      <c r="G42" s="51"/>
      <c r="H42" s="51"/>
      <c r="I42" s="51"/>
      <c r="J42" s="51"/>
      <c r="K42" s="51"/>
      <c r="L42" s="51"/>
      <c r="M42" s="51"/>
      <c r="N42" s="51"/>
      <c r="O42" s="51"/>
      <c r="P42" s="51"/>
      <c r="Q42" s="51"/>
    </row>
    <row r="43" spans="1:17" ht="11.25" customHeight="1">
      <c r="A43" s="1370" t="s">
        <v>110</v>
      </c>
      <c r="B43" s="1371"/>
      <c r="C43" s="1372"/>
      <c r="D43" s="1341">
        <f>SUM('Processing Sheet'!$H$47,'Processing Sheet'!$H$48,'Processing Sheet'!$H$50)</f>
        <v>0</v>
      </c>
      <c r="E43" s="1342"/>
      <c r="F43" s="52"/>
      <c r="G43" s="52"/>
      <c r="H43" s="51"/>
      <c r="I43" s="51"/>
      <c r="J43" s="51"/>
      <c r="K43" s="51"/>
      <c r="L43" s="51"/>
      <c r="M43" s="51"/>
      <c r="N43" s="51"/>
      <c r="O43" s="51"/>
      <c r="P43" s="51"/>
      <c r="Q43" s="51"/>
    </row>
    <row r="44" spans="1:17" ht="11.25" customHeight="1">
      <c r="A44" s="1370" t="s">
        <v>111</v>
      </c>
      <c r="B44" s="1371"/>
      <c r="C44" s="1372"/>
      <c r="D44" s="1343">
        <f>'Processing Sheet'!$H$49</f>
        <v>0</v>
      </c>
      <c r="E44" s="1344"/>
      <c r="F44" s="68"/>
      <c r="G44" s="68"/>
      <c r="H44" s="51"/>
      <c r="I44" s="51"/>
      <c r="J44" s="51"/>
      <c r="K44" s="51"/>
      <c r="L44" s="51"/>
      <c r="M44" s="51"/>
      <c r="N44" s="51"/>
      <c r="O44" s="51"/>
      <c r="P44" s="51"/>
      <c r="Q44" s="51"/>
    </row>
    <row r="45" spans="1:17" ht="11.25" customHeight="1">
      <c r="A45" s="1370" t="s">
        <v>112</v>
      </c>
      <c r="B45" s="1371"/>
      <c r="C45" s="1372"/>
      <c r="D45" s="1345">
        <f>SUM('Processing Sheet'!$H$54:'Processing Sheet'!$H$56)</f>
        <v>1000</v>
      </c>
      <c r="E45" s="1346"/>
      <c r="F45" s="69"/>
      <c r="G45" s="69"/>
      <c r="H45" s="51"/>
      <c r="I45" s="51"/>
      <c r="J45" s="51"/>
      <c r="K45" s="51"/>
      <c r="L45" s="51"/>
      <c r="M45" s="51"/>
      <c r="N45" s="51"/>
      <c r="O45" s="51"/>
      <c r="P45" s="51"/>
      <c r="Q45" s="51"/>
    </row>
    <row r="46" spans="1:17" ht="11.25" customHeight="1">
      <c r="A46" s="1370" t="s">
        <v>113</v>
      </c>
      <c r="B46" s="1371"/>
      <c r="C46" s="1372"/>
      <c r="D46" s="1345">
        <f>'Processing Sheet'!$H$53</f>
        <v>0</v>
      </c>
      <c r="E46" s="1346"/>
      <c r="F46" s="51"/>
      <c r="G46" s="51"/>
      <c r="H46" s="51"/>
      <c r="I46" s="51"/>
      <c r="J46" s="51"/>
      <c r="K46" s="51"/>
      <c r="L46" s="51"/>
      <c r="M46" s="51"/>
      <c r="N46" s="51"/>
      <c r="O46" s="51"/>
      <c r="P46" s="51"/>
      <c r="Q46" s="51"/>
    </row>
    <row r="47" spans="1:17" s="85" customFormat="1" ht="11.25" customHeight="1" thickBot="1">
      <c r="A47" s="1434" t="s">
        <v>31</v>
      </c>
      <c r="B47" s="1435"/>
      <c r="C47" s="1436"/>
      <c r="D47" s="1345">
        <f>'Processing Sheet'!$H$57</f>
        <v>0</v>
      </c>
      <c r="E47" s="1346"/>
      <c r="F47" s="51"/>
      <c r="G47" s="51"/>
      <c r="H47" s="51"/>
      <c r="I47" s="51"/>
      <c r="J47" s="51"/>
      <c r="K47" s="51"/>
      <c r="L47" s="51"/>
      <c r="M47" s="51"/>
      <c r="N47" s="51"/>
      <c r="O47" s="51"/>
      <c r="P47" s="51"/>
      <c r="Q47" s="51"/>
    </row>
    <row r="48" spans="1:17" ht="11.25" customHeight="1" thickBot="1">
      <c r="A48" s="1338" t="s">
        <v>161</v>
      </c>
      <c r="B48" s="1339"/>
      <c r="C48" s="1340"/>
      <c r="D48" s="1347">
        <f>'Processing Sheet'!$H$58</f>
        <v>-1000</v>
      </c>
      <c r="E48" s="1348"/>
      <c r="F48" s="51"/>
      <c r="G48" s="51"/>
      <c r="H48" s="51"/>
      <c r="I48" s="51"/>
      <c r="J48" s="51"/>
      <c r="K48" s="51"/>
      <c r="L48" s="51"/>
      <c r="M48" s="51"/>
      <c r="N48" s="51"/>
      <c r="O48" s="51"/>
      <c r="P48" s="51"/>
      <c r="Q48" s="51"/>
    </row>
    <row r="49" spans="1:17" ht="11.25" customHeight="1" thickBot="1">
      <c r="F49" s="51"/>
      <c r="G49" s="51"/>
      <c r="H49" s="51"/>
      <c r="I49" s="51"/>
      <c r="J49" s="51"/>
      <c r="K49" s="51"/>
      <c r="L49" s="51"/>
      <c r="M49" s="51"/>
      <c r="N49" s="51"/>
      <c r="O49" s="51"/>
      <c r="P49" s="51"/>
      <c r="Q49" s="51"/>
    </row>
    <row r="50" spans="1:17" ht="11.25" customHeight="1" thickBot="1">
      <c r="A50" s="1443" t="s">
        <v>114</v>
      </c>
      <c r="B50" s="1444"/>
      <c r="C50" s="1444"/>
      <c r="D50" s="1444"/>
      <c r="E50" s="1445"/>
      <c r="F50" s="51"/>
      <c r="G50" s="51"/>
      <c r="H50" s="51"/>
      <c r="I50" s="51"/>
      <c r="J50" s="51"/>
      <c r="K50" s="51"/>
      <c r="L50" s="51"/>
      <c r="M50" s="51"/>
      <c r="N50" s="51"/>
      <c r="O50" s="51"/>
      <c r="P50" s="51"/>
      <c r="Q50" s="51"/>
    </row>
    <row r="51" spans="1:17" ht="11.25" customHeight="1">
      <c r="A51" s="1447" t="str">
        <f>'Data Entry'!$B$46</f>
        <v>As per statement of insured and also mentioned in the claim form. While the insured vehicle was en-route. At the place of accident , . Hence the damages sustained.</v>
      </c>
      <c r="B51" s="1448"/>
      <c r="C51" s="1448"/>
      <c r="D51" s="1448"/>
      <c r="E51" s="1449"/>
      <c r="F51" s="51"/>
      <c r="G51" s="51"/>
      <c r="H51" s="51"/>
      <c r="I51" s="51"/>
      <c r="J51" s="51"/>
      <c r="K51" s="51"/>
      <c r="L51" s="51"/>
      <c r="M51" s="51"/>
      <c r="N51" s="51"/>
      <c r="O51" s="51"/>
      <c r="P51" s="51"/>
      <c r="Q51" s="51"/>
    </row>
    <row r="52" spans="1:17" ht="11.25" customHeight="1">
      <c r="A52" s="1450"/>
      <c r="B52" s="1451"/>
      <c r="C52" s="1451"/>
      <c r="D52" s="1451"/>
      <c r="E52" s="1452"/>
      <c r="F52" s="51"/>
      <c r="G52" s="51"/>
      <c r="H52" s="51"/>
      <c r="I52" s="51"/>
      <c r="J52" s="51"/>
      <c r="K52" s="51"/>
      <c r="L52" s="51"/>
      <c r="M52" s="51"/>
      <c r="N52" s="51"/>
      <c r="O52" s="51"/>
      <c r="P52" s="51"/>
      <c r="Q52" s="51"/>
    </row>
    <row r="53" spans="1:17" ht="11.25" customHeight="1">
      <c r="A53" s="1450"/>
      <c r="B53" s="1451"/>
      <c r="C53" s="1451"/>
      <c r="D53" s="1451"/>
      <c r="E53" s="1452"/>
    </row>
    <row r="54" spans="1:17" ht="30.75" customHeight="1" thickBot="1">
      <c r="A54" s="1453"/>
      <c r="B54" s="1454"/>
      <c r="C54" s="1454"/>
      <c r="D54" s="1454"/>
      <c r="E54" s="1455"/>
    </row>
    <row r="55" spans="1:17" ht="11.25" customHeight="1" thickBot="1">
      <c r="D55" s="1331"/>
      <c r="E55" s="1331"/>
    </row>
    <row r="56" spans="1:17" s="70" customFormat="1" ht="13.5" customHeight="1" thickBot="1">
      <c r="A56" s="727" t="s">
        <v>174</v>
      </c>
      <c r="B56" s="49"/>
      <c r="C56" s="49"/>
      <c r="D56" s="49"/>
      <c r="E56" s="50"/>
    </row>
    <row r="57" spans="1:17" s="70" customFormat="1" ht="11.25" customHeight="1">
      <c r="A57" s="1376" t="s">
        <v>273</v>
      </c>
      <c r="B57" s="1377"/>
      <c r="C57" s="1377"/>
      <c r="D57" s="1377"/>
      <c r="E57" s="1378"/>
    </row>
    <row r="58" spans="1:17" s="70" customFormat="1" ht="53.25" customHeight="1" thickBot="1">
      <c r="A58" s="1379"/>
      <c r="B58" s="1380"/>
      <c r="C58" s="1380"/>
      <c r="D58" s="1380"/>
      <c r="E58" s="1381"/>
    </row>
    <row r="59" spans="1:17" s="70" customFormat="1" ht="11.25" customHeight="1">
      <c r="D59" s="71"/>
      <c r="E59" s="71"/>
    </row>
    <row r="61" spans="1:17" ht="11.25" customHeight="1">
      <c r="A61" s="1446" t="s">
        <v>173</v>
      </c>
      <c r="B61" s="1446"/>
      <c r="C61" s="1446"/>
      <c r="D61" s="1446"/>
      <c r="E61" s="1446"/>
    </row>
    <row r="62" spans="1:17" ht="11.25" customHeight="1">
      <c r="A62" s="59" t="s">
        <v>547</v>
      </c>
      <c r="B62" s="59"/>
      <c r="C62" s="51"/>
      <c r="D62" s="51"/>
      <c r="E62" s="51"/>
    </row>
    <row r="63" spans="1:17" s="86" customFormat="1" ht="11.25" customHeight="1">
      <c r="A63" s="59"/>
      <c r="B63" s="59"/>
      <c r="C63" s="51"/>
      <c r="D63" s="51"/>
      <c r="E63" s="51"/>
    </row>
    <row r="64" spans="1:17" ht="11.25" customHeight="1">
      <c r="A64" s="633" t="str">
        <f>'Instruction Sheet'!C22</f>
        <v>Incharge</v>
      </c>
      <c r="B64" s="634"/>
      <c r="C64" s="51"/>
      <c r="D64" s="51"/>
      <c r="E64" s="51"/>
    </row>
    <row r="65" spans="1:5" ht="11.25" customHeight="1">
      <c r="A65" s="635" t="str">
        <f>'Instruction Sheet'!C20</f>
        <v>Strategic Alliance Auto Tieup Hub (Patna)</v>
      </c>
      <c r="B65" s="634"/>
      <c r="C65" s="51"/>
      <c r="D65" s="51"/>
      <c r="E65" s="51"/>
    </row>
    <row r="66" spans="1:5" ht="11.25" customHeight="1">
      <c r="A66" s="1335" t="s">
        <v>242</v>
      </c>
      <c r="B66" s="1335"/>
      <c r="C66" s="51"/>
      <c r="D66" s="51"/>
      <c r="E66" s="51"/>
    </row>
    <row r="67" spans="1:5" ht="11.25" customHeight="1">
      <c r="A67" s="634" t="str">
        <f>'Instruction Sheet'!C23</f>
        <v>"Jeewan Prakash", Fraser Road</v>
      </c>
      <c r="B67" s="634"/>
      <c r="C67" s="51"/>
      <c r="D67" s="51"/>
      <c r="E67" s="51"/>
    </row>
    <row r="68" spans="1:5" s="86" customFormat="1" ht="11.25" customHeight="1">
      <c r="A68" s="634" t="str">
        <f>'Instruction Sheet'!C24&amp;"-"&amp;'Instruction Sheet'!C26&amp;", "&amp;'Instruction Sheet'!C25</f>
        <v>Patna-800001, Bihar</v>
      </c>
      <c r="B68" s="634"/>
      <c r="C68" s="51"/>
      <c r="D68" s="51"/>
      <c r="E68" s="51"/>
    </row>
    <row r="69" spans="1:5" s="86" customFormat="1" ht="11.25" customHeight="1">
      <c r="A69" s="634"/>
      <c r="B69" s="634"/>
      <c r="C69" s="51"/>
      <c r="D69" s="51"/>
      <c r="E69" s="51"/>
    </row>
    <row r="70" spans="1:5" ht="11.25" customHeight="1">
      <c r="A70" s="59" t="s">
        <v>50</v>
      </c>
      <c r="B70" s="60"/>
      <c r="C70" s="51"/>
      <c r="D70" s="51"/>
      <c r="E70" s="51"/>
    </row>
    <row r="71" spans="1:5" s="86" customFormat="1" ht="11.25" customHeight="1" thickBot="1">
      <c r="A71" s="59"/>
      <c r="B71" s="60"/>
      <c r="C71" s="51"/>
      <c r="D71" s="51"/>
      <c r="E71" s="51"/>
    </row>
    <row r="72" spans="1:5" ht="13.5" customHeight="1">
      <c r="A72" s="1458" t="s">
        <v>194</v>
      </c>
      <c r="B72" s="1459"/>
      <c r="C72" s="1459"/>
      <c r="D72" s="636" t="str">
        <f>'Instruction Sheet'!C21&amp;", on "&amp;'Data Entry'!$B$40</f>
        <v xml:space="preserve">SAATH, Patna, on </v>
      </c>
      <c r="E72" s="229">
        <f>'Data Entry'!$B$40</f>
        <v>0</v>
      </c>
    </row>
    <row r="73" spans="1:5" ht="14.25" customHeight="1">
      <c r="A73" s="1362" t="s">
        <v>149</v>
      </c>
      <c r="B73" s="1363"/>
      <c r="C73" s="1363"/>
      <c r="D73" s="1363"/>
      <c r="E73" s="1364"/>
    </row>
    <row r="74" spans="1:5" ht="12.75" customHeight="1">
      <c r="A74" s="1456" t="s">
        <v>662</v>
      </c>
      <c r="B74" s="1457"/>
      <c r="C74" s="1368" t="str">
        <f>'Data Entry'!$B$45</f>
        <v>Aastha Honda Patna</v>
      </c>
      <c r="D74" s="1368"/>
      <c r="E74" s="1369"/>
    </row>
    <row r="75" spans="1:5" ht="11.25" customHeight="1">
      <c r="A75" s="1362" t="s">
        <v>715</v>
      </c>
      <c r="B75" s="1363"/>
      <c r="C75" s="1363"/>
      <c r="D75" s="1363"/>
      <c r="E75" s="1364"/>
    </row>
    <row r="76" spans="1:5" ht="11.25" customHeight="1">
      <c r="A76" s="1362"/>
      <c r="B76" s="1363"/>
      <c r="C76" s="1363"/>
      <c r="D76" s="1363"/>
      <c r="E76" s="1364"/>
    </row>
    <row r="77" spans="1:5" ht="11.25" customHeight="1">
      <c r="A77" s="1362"/>
      <c r="B77" s="1363"/>
      <c r="C77" s="1363"/>
      <c r="D77" s="1363"/>
      <c r="E77" s="1364"/>
    </row>
    <row r="78" spans="1:5" ht="24.75" customHeight="1" thickBot="1">
      <c r="A78" s="1365"/>
      <c r="B78" s="1366"/>
      <c r="C78" s="1366"/>
      <c r="D78" s="1366"/>
      <c r="E78" s="1367"/>
    </row>
    <row r="79" spans="1:5" ht="11.25" customHeight="1">
      <c r="A79" s="58"/>
      <c r="B79" s="58"/>
      <c r="C79" s="58"/>
      <c r="D79" s="58"/>
      <c r="E79" s="58"/>
    </row>
    <row r="80" spans="1:5" ht="13.5" customHeight="1" thickBot="1">
      <c r="A80" s="1332" t="s">
        <v>51</v>
      </c>
      <c r="B80" s="1332"/>
      <c r="C80" s="1332"/>
      <c r="D80" s="60"/>
      <c r="E80" s="60"/>
    </row>
    <row r="81" spans="1:5" ht="13.5" customHeight="1">
      <c r="A81" s="1440" t="s">
        <v>151</v>
      </c>
      <c r="B81" s="1441"/>
      <c r="C81" s="1441"/>
      <c r="D81" s="1441"/>
      <c r="E81" s="1442"/>
    </row>
    <row r="82" spans="1:5" ht="11.25" customHeight="1">
      <c r="A82" s="230" t="s">
        <v>152</v>
      </c>
      <c r="B82" s="1333" t="s">
        <v>273</v>
      </c>
      <c r="C82" s="1333"/>
      <c r="D82" s="1333"/>
      <c r="E82" s="1334"/>
    </row>
    <row r="83" spans="1:5" ht="11.25" customHeight="1" thickBot="1">
      <c r="A83" s="231" t="s">
        <v>153</v>
      </c>
      <c r="B83" s="1396" t="s">
        <v>273</v>
      </c>
      <c r="C83" s="1396"/>
      <c r="D83" s="1396"/>
      <c r="E83" s="1397"/>
    </row>
    <row r="84" spans="1:5" ht="11.25" customHeight="1">
      <c r="A84" s="1398" t="s">
        <v>115</v>
      </c>
      <c r="B84" s="1399"/>
      <c r="C84" s="232"/>
      <c r="D84" s="232"/>
      <c r="E84" s="233"/>
    </row>
    <row r="85" spans="1:5" ht="11.25" customHeight="1">
      <c r="A85" s="234" t="s">
        <v>116</v>
      </c>
      <c r="B85" s="1438">
        <f>'Data Entry'!$B$21</f>
        <v>0</v>
      </c>
      <c r="C85" s="1438"/>
      <c r="D85" s="17" t="s">
        <v>117</v>
      </c>
      <c r="E85" s="235">
        <f>'Data Entry'!$B$22</f>
        <v>0</v>
      </c>
    </row>
    <row r="86" spans="1:5" ht="11.25" customHeight="1">
      <c r="A86" s="234" t="s">
        <v>118</v>
      </c>
      <c r="B86" s="1439"/>
      <c r="C86" s="1439"/>
      <c r="D86" s="74" t="s">
        <v>119</v>
      </c>
      <c r="E86" s="765"/>
    </row>
    <row r="87" spans="1:5" ht="11.25" customHeight="1" thickBot="1">
      <c r="A87" s="236" t="s">
        <v>52</v>
      </c>
      <c r="B87" s="1400"/>
      <c r="C87" s="1400"/>
      <c r="D87" s="1400"/>
      <c r="E87" s="1401"/>
    </row>
    <row r="88" spans="1:5" ht="11.25" customHeight="1" thickBot="1"/>
    <row r="89" spans="1:5" ht="11.25" customHeight="1">
      <c r="A89" s="1412" t="s">
        <v>120</v>
      </c>
      <c r="B89" s="1413"/>
      <c r="C89" s="1413" t="s">
        <v>183</v>
      </c>
      <c r="D89" s="1413"/>
      <c r="E89" s="739" t="s">
        <v>150</v>
      </c>
    </row>
    <row r="90" spans="1:5" ht="11.25" customHeight="1">
      <c r="A90" s="1414">
        <f>+'Assessment Sheet'!B81</f>
        <v>0</v>
      </c>
      <c r="B90" s="1415"/>
      <c r="C90" s="1416" t="s">
        <v>825</v>
      </c>
      <c r="D90" s="1417"/>
      <c r="E90" s="764"/>
    </row>
    <row r="91" spans="1:5" ht="11.25" customHeight="1">
      <c r="A91" s="1414">
        <f>+'Assessment Sheet'!B82</f>
        <v>0</v>
      </c>
      <c r="B91" s="1415"/>
      <c r="C91" s="1416" t="s">
        <v>825</v>
      </c>
      <c r="D91" s="1417"/>
      <c r="E91" s="764"/>
    </row>
    <row r="92" spans="1:5" ht="11.25" customHeight="1">
      <c r="A92" s="1414">
        <f>+'Assessment Sheet'!B83</f>
        <v>0</v>
      </c>
      <c r="B92" s="1415"/>
      <c r="C92" s="1416" t="s">
        <v>825</v>
      </c>
      <c r="D92" s="1417"/>
      <c r="E92" s="764"/>
    </row>
    <row r="93" spans="1:5" s="55" customFormat="1" ht="11.25" customHeight="1">
      <c r="A93" s="1414">
        <f>+'Assessment Sheet'!B84</f>
        <v>0</v>
      </c>
      <c r="B93" s="1415"/>
      <c r="C93" s="1416" t="s">
        <v>825</v>
      </c>
      <c r="D93" s="1417"/>
      <c r="E93" s="764"/>
    </row>
    <row r="94" spans="1:5" s="55" customFormat="1" ht="11.25" customHeight="1">
      <c r="A94" s="1414">
        <f>+'Assessment Sheet'!B85</f>
        <v>0</v>
      </c>
      <c r="B94" s="1415"/>
      <c r="C94" s="1416" t="s">
        <v>825</v>
      </c>
      <c r="D94" s="1417"/>
      <c r="E94" s="764"/>
    </row>
    <row r="95" spans="1:5" s="55" customFormat="1" ht="11.25" customHeight="1">
      <c r="A95" s="1414">
        <f>+'Assessment Sheet'!B86</f>
        <v>0</v>
      </c>
      <c r="B95" s="1415"/>
      <c r="C95" s="1416" t="s">
        <v>825</v>
      </c>
      <c r="D95" s="1417"/>
      <c r="E95" s="764"/>
    </row>
    <row r="96" spans="1:5" s="55" customFormat="1" ht="11.25" customHeight="1">
      <c r="A96" s="1414">
        <f>+'Assessment Sheet'!B87</f>
        <v>0</v>
      </c>
      <c r="B96" s="1415"/>
      <c r="C96" s="1416" t="s">
        <v>825</v>
      </c>
      <c r="D96" s="1417"/>
      <c r="E96" s="764"/>
    </row>
    <row r="97" spans="1:5" s="55" customFormat="1" ht="11.25" customHeight="1">
      <c r="A97" s="1414">
        <f>+'Assessment Sheet'!B88</f>
        <v>0</v>
      </c>
      <c r="B97" s="1415"/>
      <c r="C97" s="1416" t="s">
        <v>825</v>
      </c>
      <c r="D97" s="1417"/>
      <c r="E97" s="764"/>
    </row>
    <row r="98" spans="1:5" s="55" customFormat="1" ht="11.25" customHeight="1">
      <c r="A98" s="1414">
        <f>+'Assessment Sheet'!B89</f>
        <v>0</v>
      </c>
      <c r="B98" s="1415"/>
      <c r="C98" s="1416" t="s">
        <v>825</v>
      </c>
      <c r="D98" s="1417"/>
      <c r="E98" s="764"/>
    </row>
    <row r="99" spans="1:5" s="55" customFormat="1" ht="12">
      <c r="A99" s="1414">
        <f>+'Assessment Sheet'!B90</f>
        <v>0</v>
      </c>
      <c r="B99" s="1415"/>
      <c r="C99" s="1416" t="s">
        <v>825</v>
      </c>
      <c r="D99" s="1417"/>
      <c r="E99" s="764"/>
    </row>
    <row r="100" spans="1:5" s="55" customFormat="1" ht="12">
      <c r="A100" s="1414">
        <f>+'Assessment Sheet'!B91</f>
        <v>0</v>
      </c>
      <c r="B100" s="1415"/>
      <c r="C100" s="1416" t="s">
        <v>825</v>
      </c>
      <c r="D100" s="1417"/>
      <c r="E100" s="764"/>
    </row>
    <row r="101" spans="1:5" ht="12">
      <c r="A101" s="1414">
        <f>+'Assessment Sheet'!B92</f>
        <v>0</v>
      </c>
      <c r="B101" s="1415"/>
      <c r="C101" s="1416" t="s">
        <v>825</v>
      </c>
      <c r="D101" s="1417"/>
      <c r="E101" s="764"/>
    </row>
    <row r="102" spans="1:5" ht="12">
      <c r="A102" s="1414">
        <f>+'Assessment Sheet'!B93</f>
        <v>0</v>
      </c>
      <c r="B102" s="1415"/>
      <c r="C102" s="1416" t="s">
        <v>825</v>
      </c>
      <c r="D102" s="1417"/>
      <c r="E102" s="764"/>
    </row>
    <row r="103" spans="1:5" ht="12">
      <c r="A103" s="1414">
        <f>+'Assessment Sheet'!B94</f>
        <v>0</v>
      </c>
      <c r="B103" s="1415"/>
      <c r="C103" s="1416" t="s">
        <v>825</v>
      </c>
      <c r="D103" s="1417"/>
      <c r="E103" s="764"/>
    </row>
    <row r="104" spans="1:5" ht="12">
      <c r="A104" s="1414">
        <f>+'Assessment Sheet'!B95</f>
        <v>0</v>
      </c>
      <c r="B104" s="1415"/>
      <c r="C104" s="1416" t="s">
        <v>825</v>
      </c>
      <c r="D104" s="1417"/>
      <c r="E104" s="764"/>
    </row>
    <row r="105" spans="1:5" ht="12">
      <c r="A105" s="1414">
        <f>+'Assessment Sheet'!B96</f>
        <v>0</v>
      </c>
      <c r="B105" s="1415"/>
      <c r="C105" s="1416" t="s">
        <v>825</v>
      </c>
      <c r="D105" s="1417"/>
      <c r="E105" s="764"/>
    </row>
    <row r="106" spans="1:5" ht="12">
      <c r="A106" s="1414">
        <f>+'Assessment Sheet'!B97</f>
        <v>0</v>
      </c>
      <c r="B106" s="1415"/>
      <c r="C106" s="1416" t="s">
        <v>825</v>
      </c>
      <c r="D106" s="1417"/>
      <c r="E106" s="764"/>
    </row>
    <row r="107" spans="1:5" ht="12">
      <c r="A107" s="1414">
        <f>+'Assessment Sheet'!B98</f>
        <v>0</v>
      </c>
      <c r="B107" s="1415"/>
      <c r="C107" s="1416" t="s">
        <v>825</v>
      </c>
      <c r="D107" s="1417"/>
      <c r="E107" s="764"/>
    </row>
    <row r="108" spans="1:5" ht="12">
      <c r="A108" s="1414">
        <f>+'Assessment Sheet'!B99</f>
        <v>0</v>
      </c>
      <c r="B108" s="1415"/>
      <c r="C108" s="1416" t="s">
        <v>825</v>
      </c>
      <c r="D108" s="1417"/>
      <c r="E108" s="764"/>
    </row>
    <row r="109" spans="1:5" ht="18" customHeight="1" thickBot="1">
      <c r="A109" s="1385" t="s">
        <v>162</v>
      </c>
      <c r="B109" s="1386"/>
      <c r="C109" s="1386"/>
      <c r="D109" s="1386"/>
      <c r="E109" s="1387"/>
    </row>
    <row r="110" spans="1:5" ht="11.25" customHeight="1">
      <c r="A110" s="1388" t="s">
        <v>163</v>
      </c>
      <c r="B110" s="1389"/>
      <c r="C110" s="1392">
        <f>'Processing Sheet'!$H$58</f>
        <v>-1000</v>
      </c>
      <c r="D110" s="1392"/>
      <c r="E110" s="1393"/>
    </row>
    <row r="111" spans="1:5" ht="11.25" customHeight="1" thickBot="1">
      <c r="A111" s="1390"/>
      <c r="B111" s="1391"/>
      <c r="C111" s="1394"/>
      <c r="D111" s="1394"/>
      <c r="E111" s="1395"/>
    </row>
    <row r="112" spans="1:5" ht="11.25" customHeight="1" thickBot="1">
      <c r="A112" s="49"/>
      <c r="B112" s="49"/>
      <c r="C112" s="49"/>
      <c r="D112" s="49"/>
      <c r="E112" s="50"/>
    </row>
    <row r="113" spans="1:8" ht="58.5" customHeight="1">
      <c r="A113" s="1382" t="s">
        <v>664</v>
      </c>
      <c r="B113" s="1383"/>
      <c r="C113" s="1383"/>
      <c r="D113" s="1383"/>
      <c r="E113" s="1384"/>
    </row>
    <row r="114" spans="1:8" ht="14.25" customHeight="1"/>
    <row r="115" spans="1:8" ht="11.25" customHeight="1">
      <c r="A115" s="1402" t="s">
        <v>661</v>
      </c>
      <c r="B115" s="1403"/>
      <c r="C115" s="1403"/>
      <c r="D115" s="1403"/>
      <c r="E115" s="1404"/>
    </row>
    <row r="116" spans="1:8" ht="11.25" customHeight="1">
      <c r="A116" s="1405"/>
      <c r="B116" s="1406"/>
      <c r="C116" s="1406"/>
      <c r="D116" s="1406"/>
      <c r="E116" s="1407"/>
    </row>
    <row r="117" spans="1:8" ht="11.25" customHeight="1" thickBot="1">
      <c r="A117" s="1408"/>
      <c r="B117" s="1409"/>
      <c r="C117" s="1409"/>
      <c r="D117" s="1409"/>
      <c r="E117" s="1410"/>
    </row>
    <row r="120" spans="1:8" ht="11.25" customHeight="1">
      <c r="D120" s="1411"/>
      <c r="E120" s="1411"/>
    </row>
    <row r="121" spans="1:8" ht="15.75" customHeight="1">
      <c r="D121" s="1375" t="s">
        <v>217</v>
      </c>
      <c r="E121" s="1375"/>
    </row>
    <row r="122" spans="1:8" ht="11.25" customHeight="1">
      <c r="A122" s="117"/>
      <c r="B122" s="113"/>
      <c r="C122" s="113"/>
      <c r="D122" s="113"/>
      <c r="E122" s="113"/>
    </row>
    <row r="123" spans="1:8" ht="11.25" customHeight="1">
      <c r="A123" s="116" t="s">
        <v>181</v>
      </c>
      <c r="B123" s="116"/>
      <c r="C123" s="116"/>
      <c r="D123" s="116"/>
      <c r="E123" s="116"/>
      <c r="F123" s="113"/>
      <c r="G123" s="113"/>
      <c r="H123" s="113"/>
    </row>
    <row r="124" spans="1:8" ht="11.25" customHeight="1">
      <c r="D124" s="113"/>
    </row>
    <row r="126" spans="1:8" ht="11.25" customHeight="1">
      <c r="A126" s="43"/>
      <c r="B126" s="43"/>
      <c r="C126" s="43"/>
      <c r="D126" s="43"/>
      <c r="E126" s="43"/>
    </row>
    <row r="127" spans="1:8" ht="11.25" customHeight="1">
      <c r="A127" s="43"/>
      <c r="B127" s="43"/>
      <c r="C127" s="43"/>
      <c r="D127" s="43"/>
      <c r="E127" s="43"/>
    </row>
    <row r="128" spans="1:8" ht="11.25" customHeight="1">
      <c r="A128" s="43"/>
      <c r="B128" s="43"/>
      <c r="C128" s="43"/>
      <c r="D128" s="43"/>
      <c r="E128" s="43"/>
    </row>
    <row r="129" spans="1:5" ht="11.25" customHeight="1">
      <c r="A129" s="43"/>
      <c r="B129" s="43"/>
      <c r="C129" s="43"/>
      <c r="D129" s="43"/>
      <c r="E129" s="43"/>
    </row>
    <row r="130" spans="1:5" ht="11.25" customHeight="1">
      <c r="A130" s="43"/>
      <c r="B130" s="43"/>
      <c r="C130" s="43"/>
      <c r="D130" s="43"/>
      <c r="E130" s="43"/>
    </row>
    <row r="131" spans="1:5" ht="11.25" customHeight="1">
      <c r="A131" s="43"/>
      <c r="B131" s="43"/>
      <c r="C131" s="43"/>
      <c r="D131" s="43"/>
      <c r="E131" s="43"/>
    </row>
    <row r="132" spans="1:5" ht="11.25" customHeight="1">
      <c r="A132" s="43"/>
      <c r="B132" s="43"/>
      <c r="C132" s="43"/>
      <c r="D132" s="43"/>
      <c r="E132" s="43"/>
    </row>
    <row r="133" spans="1:5" ht="11.25" customHeight="1">
      <c r="A133" s="43"/>
      <c r="B133" s="43"/>
      <c r="C133" s="43"/>
      <c r="D133" s="43"/>
      <c r="E133" s="43"/>
    </row>
    <row r="134" spans="1:5" ht="11.25" customHeight="1">
      <c r="A134" s="43"/>
      <c r="B134" s="43"/>
      <c r="C134" s="43"/>
      <c r="D134" s="43"/>
      <c r="E134" s="43"/>
    </row>
    <row r="135" spans="1:5" ht="11.25" customHeight="1">
      <c r="A135" s="43"/>
      <c r="B135" s="43"/>
      <c r="C135" s="43"/>
      <c r="D135" s="43"/>
      <c r="E135" s="43"/>
    </row>
    <row r="136" spans="1:5" ht="11.25" customHeight="1">
      <c r="A136" s="43"/>
      <c r="B136" s="43"/>
      <c r="C136" s="43"/>
      <c r="D136" s="43"/>
      <c r="E136" s="43"/>
    </row>
    <row r="137" spans="1:5" ht="11.25" customHeight="1">
      <c r="A137" s="43"/>
      <c r="B137" s="43"/>
      <c r="C137" s="43"/>
      <c r="D137" s="43"/>
      <c r="E137" s="43"/>
    </row>
    <row r="138" spans="1:5" ht="11.25" customHeight="1">
      <c r="A138" s="43"/>
      <c r="B138" s="43"/>
      <c r="C138" s="43"/>
      <c r="D138" s="43"/>
      <c r="E138" s="43"/>
    </row>
    <row r="139" spans="1:5" ht="11.25" customHeight="1">
      <c r="A139" s="43"/>
      <c r="B139" s="43"/>
      <c r="C139" s="43"/>
      <c r="D139" s="43"/>
      <c r="E139" s="43"/>
    </row>
    <row r="140" spans="1:5" ht="11.25" customHeight="1">
      <c r="A140" s="43"/>
      <c r="B140" s="43"/>
      <c r="C140" s="43"/>
      <c r="D140" s="43"/>
      <c r="E140" s="43"/>
    </row>
    <row r="141" spans="1:5" ht="11.25" customHeight="1">
      <c r="A141" s="43"/>
      <c r="B141" s="43"/>
      <c r="C141" s="43"/>
      <c r="D141" s="43"/>
      <c r="E141" s="43"/>
    </row>
    <row r="142" spans="1:5" ht="11.25" customHeight="1">
      <c r="A142" s="43"/>
      <c r="B142" s="43"/>
      <c r="C142" s="43"/>
      <c r="D142" s="43"/>
      <c r="E142" s="43"/>
    </row>
    <row r="143" spans="1:5" ht="11.25" customHeight="1">
      <c r="A143" s="43"/>
      <c r="B143" s="43"/>
      <c r="C143" s="43"/>
      <c r="D143" s="43"/>
      <c r="E143" s="43"/>
    </row>
    <row r="144" spans="1:5" ht="11.25" customHeight="1">
      <c r="A144" s="43"/>
      <c r="B144" s="43"/>
      <c r="C144" s="43"/>
      <c r="D144" s="43"/>
      <c r="E144" s="43"/>
    </row>
    <row r="145" spans="1:5" ht="11.25" customHeight="1">
      <c r="A145" s="43"/>
      <c r="B145" s="43"/>
      <c r="C145" s="43"/>
      <c r="D145" s="43"/>
      <c r="E145" s="43"/>
    </row>
    <row r="146" spans="1:5" ht="11.25" customHeight="1">
      <c r="A146" s="43"/>
      <c r="B146" s="43"/>
      <c r="C146" s="43"/>
      <c r="D146" s="43"/>
      <c r="E146" s="43"/>
    </row>
    <row r="147" spans="1:5" ht="11.25" customHeight="1">
      <c r="A147" s="43"/>
      <c r="B147" s="43"/>
      <c r="C147" s="43"/>
      <c r="D147" s="43"/>
      <c r="E147" s="43"/>
    </row>
    <row r="148" spans="1:5" ht="11.25" customHeight="1">
      <c r="A148" s="43"/>
      <c r="B148" s="43"/>
      <c r="C148" s="43"/>
      <c r="D148" s="43"/>
      <c r="E148" s="43"/>
    </row>
    <row r="149" spans="1:5" ht="11.25" customHeight="1">
      <c r="A149" s="43"/>
      <c r="B149" s="43"/>
      <c r="C149" s="43"/>
      <c r="D149" s="43"/>
      <c r="E149" s="43"/>
    </row>
    <row r="150" spans="1:5" ht="11.25" customHeight="1">
      <c r="A150" s="43"/>
      <c r="B150" s="43"/>
      <c r="C150" s="43"/>
      <c r="D150" s="43"/>
      <c r="E150" s="43"/>
    </row>
    <row r="151" spans="1:5" ht="11.25" customHeight="1">
      <c r="A151" s="43"/>
      <c r="B151" s="43"/>
      <c r="C151" s="43"/>
      <c r="D151" s="43"/>
      <c r="E151" s="43"/>
    </row>
    <row r="152" spans="1:5" ht="11.25" customHeight="1">
      <c r="A152" s="43"/>
      <c r="B152" s="43"/>
      <c r="C152" s="43"/>
      <c r="D152" s="43"/>
      <c r="E152" s="43"/>
    </row>
    <row r="153" spans="1:5" ht="11.25" customHeight="1">
      <c r="A153" s="43"/>
      <c r="B153" s="43"/>
      <c r="C153" s="43"/>
      <c r="D153" s="43"/>
      <c r="E153" s="43"/>
    </row>
    <row r="154" spans="1:5" ht="11.25" customHeight="1">
      <c r="A154" s="43"/>
      <c r="B154" s="43"/>
      <c r="C154" s="43"/>
      <c r="D154" s="43"/>
      <c r="E154" s="43"/>
    </row>
    <row r="155" spans="1:5" ht="11.25" customHeight="1">
      <c r="A155" s="43"/>
      <c r="B155" s="43"/>
      <c r="C155" s="43"/>
      <c r="D155" s="43"/>
      <c r="E155" s="43"/>
    </row>
    <row r="156" spans="1:5" ht="11.25" customHeight="1">
      <c r="A156" s="43"/>
      <c r="B156" s="43"/>
      <c r="C156" s="43"/>
      <c r="D156" s="43"/>
      <c r="E156" s="43"/>
    </row>
    <row r="157" spans="1:5" ht="11.25" customHeight="1">
      <c r="A157" s="43"/>
      <c r="B157" s="43"/>
      <c r="C157" s="43"/>
      <c r="D157" s="43"/>
      <c r="E157" s="43"/>
    </row>
    <row r="158" spans="1:5" ht="11.25" customHeight="1">
      <c r="A158" s="43"/>
      <c r="B158" s="43"/>
      <c r="C158" s="43"/>
      <c r="D158" s="43"/>
      <c r="E158" s="43"/>
    </row>
    <row r="159" spans="1:5" ht="11.25" customHeight="1">
      <c r="A159" s="43"/>
      <c r="B159" s="43"/>
      <c r="C159" s="43"/>
      <c r="D159" s="43"/>
      <c r="E159" s="43"/>
    </row>
    <row r="160" spans="1:5" ht="11.25" customHeight="1">
      <c r="A160" s="43"/>
      <c r="B160" s="43"/>
      <c r="C160" s="43"/>
      <c r="D160" s="43"/>
      <c r="E160" s="43"/>
    </row>
    <row r="161" spans="1:5" ht="11.25" customHeight="1">
      <c r="A161" s="43"/>
      <c r="B161" s="43"/>
      <c r="C161" s="43"/>
      <c r="D161" s="43"/>
      <c r="E161" s="43"/>
    </row>
    <row r="162" spans="1:5" ht="11.25" customHeight="1">
      <c r="A162" s="43"/>
      <c r="B162" s="43"/>
      <c r="C162" s="43"/>
      <c r="D162" s="43"/>
      <c r="E162" s="43"/>
    </row>
    <row r="163" spans="1:5" ht="11.25" customHeight="1">
      <c r="A163" s="43"/>
      <c r="B163" s="43"/>
      <c r="C163" s="43"/>
      <c r="D163" s="43"/>
      <c r="E163" s="43"/>
    </row>
    <row r="164" spans="1:5" ht="11.25" customHeight="1">
      <c r="A164" s="43"/>
      <c r="B164" s="43"/>
      <c r="C164" s="43"/>
      <c r="D164" s="43"/>
      <c r="E164" s="43"/>
    </row>
    <row r="165" spans="1:5" ht="11.25" customHeight="1">
      <c r="A165" s="43"/>
      <c r="B165" s="43"/>
      <c r="C165" s="43"/>
      <c r="D165" s="43"/>
      <c r="E165" s="43"/>
    </row>
    <row r="166" spans="1:5" ht="11.25" customHeight="1">
      <c r="A166" s="43"/>
      <c r="B166" s="43"/>
      <c r="C166" s="43"/>
      <c r="D166" s="43"/>
      <c r="E166" s="43"/>
    </row>
    <row r="167" spans="1:5" ht="11.25" customHeight="1">
      <c r="A167" s="43"/>
      <c r="B167" s="43"/>
      <c r="C167" s="43"/>
      <c r="D167" s="43"/>
      <c r="E167" s="43"/>
    </row>
    <row r="168" spans="1:5" ht="11.25" customHeight="1">
      <c r="A168" s="43"/>
      <c r="B168" s="43"/>
      <c r="C168" s="43"/>
      <c r="D168" s="43"/>
      <c r="E168" s="43"/>
    </row>
    <row r="169" spans="1:5" ht="11.25" customHeight="1">
      <c r="A169" s="43"/>
      <c r="B169" s="43"/>
      <c r="C169" s="43"/>
      <c r="D169" s="43"/>
      <c r="E169" s="43"/>
    </row>
    <row r="170" spans="1:5" ht="11.25" customHeight="1">
      <c r="A170" s="43"/>
      <c r="B170" s="43"/>
      <c r="C170" s="43"/>
      <c r="D170" s="43"/>
      <c r="E170" s="43"/>
    </row>
    <row r="171" spans="1:5" ht="11.25" customHeight="1">
      <c r="A171" s="43"/>
      <c r="B171" s="43"/>
      <c r="C171" s="43"/>
      <c r="D171" s="43"/>
      <c r="E171" s="43"/>
    </row>
    <row r="172" spans="1:5" ht="11.25" customHeight="1">
      <c r="A172" s="43"/>
      <c r="B172" s="43"/>
      <c r="C172" s="43"/>
      <c r="D172" s="43"/>
      <c r="E172" s="43"/>
    </row>
    <row r="173" spans="1:5" ht="11.25" customHeight="1">
      <c r="A173" s="43"/>
      <c r="B173" s="43"/>
      <c r="C173" s="43"/>
      <c r="D173" s="43"/>
      <c r="E173" s="43"/>
    </row>
    <row r="174" spans="1:5" ht="11.25" customHeight="1">
      <c r="A174" s="43"/>
      <c r="B174" s="43"/>
      <c r="C174" s="43"/>
      <c r="D174" s="43"/>
      <c r="E174" s="43"/>
    </row>
    <row r="175" spans="1:5" ht="11.25" customHeight="1">
      <c r="A175" s="43"/>
      <c r="B175" s="43"/>
      <c r="C175" s="43"/>
      <c r="D175" s="43"/>
      <c r="E175" s="43"/>
    </row>
    <row r="176" spans="1:5" ht="11.25" customHeight="1">
      <c r="A176" s="43"/>
      <c r="B176" s="43"/>
      <c r="C176" s="43"/>
      <c r="D176" s="43"/>
      <c r="E176" s="43"/>
    </row>
    <row r="177" spans="1:5" ht="11.25" customHeight="1">
      <c r="A177" s="43"/>
      <c r="B177" s="43"/>
      <c r="C177" s="43"/>
      <c r="D177" s="43"/>
      <c r="E177" s="43"/>
    </row>
    <row r="178" spans="1:5" ht="11.25" customHeight="1">
      <c r="A178" s="43"/>
      <c r="B178" s="43"/>
      <c r="C178" s="43"/>
      <c r="D178" s="43"/>
      <c r="E178" s="43"/>
    </row>
    <row r="179" spans="1:5" ht="11.25" customHeight="1">
      <c r="A179" s="43"/>
      <c r="B179" s="43"/>
      <c r="C179" s="43"/>
      <c r="D179" s="43"/>
      <c r="E179" s="43"/>
    </row>
    <row r="180" spans="1:5" ht="11.25" customHeight="1">
      <c r="A180" s="43"/>
      <c r="B180" s="43"/>
      <c r="C180" s="43"/>
      <c r="D180" s="43"/>
      <c r="E180" s="43"/>
    </row>
    <row r="181" spans="1:5" ht="11.25" customHeight="1">
      <c r="A181" s="43"/>
      <c r="B181" s="43"/>
      <c r="C181" s="43"/>
      <c r="D181" s="43"/>
      <c r="E181" s="43"/>
    </row>
    <row r="182" spans="1:5" ht="11.25" customHeight="1">
      <c r="A182" s="43"/>
      <c r="B182" s="43"/>
      <c r="C182" s="43"/>
      <c r="D182" s="43"/>
      <c r="E182" s="43"/>
    </row>
    <row r="183" spans="1:5" ht="11.25" customHeight="1">
      <c r="A183" s="43"/>
      <c r="B183" s="43"/>
      <c r="C183" s="43"/>
      <c r="D183" s="43"/>
      <c r="E183" s="43"/>
    </row>
    <row r="184" spans="1:5" ht="11.25" customHeight="1">
      <c r="A184" s="43"/>
      <c r="B184" s="43"/>
      <c r="C184" s="43"/>
      <c r="D184" s="43"/>
      <c r="E184" s="43"/>
    </row>
    <row r="185" spans="1:5" ht="11.25" customHeight="1">
      <c r="A185" s="43"/>
      <c r="B185" s="43"/>
      <c r="C185" s="43"/>
      <c r="D185" s="43"/>
      <c r="E185" s="43"/>
    </row>
    <row r="186" spans="1:5" ht="11.25" customHeight="1">
      <c r="A186" s="43"/>
      <c r="B186" s="43"/>
      <c r="C186" s="43"/>
      <c r="D186" s="43"/>
      <c r="E186" s="43"/>
    </row>
    <row r="187" spans="1:5" ht="11.25" customHeight="1">
      <c r="A187" s="43"/>
      <c r="B187" s="43"/>
      <c r="C187" s="43"/>
      <c r="D187" s="43"/>
      <c r="E187" s="43"/>
    </row>
    <row r="188" spans="1:5" ht="11.25" customHeight="1">
      <c r="A188" s="43"/>
      <c r="B188" s="43"/>
      <c r="C188" s="43"/>
      <c r="D188" s="43"/>
      <c r="E188" s="43"/>
    </row>
    <row r="189" spans="1:5" ht="11.25" customHeight="1">
      <c r="A189" s="43"/>
      <c r="B189" s="43"/>
      <c r="C189" s="43"/>
      <c r="D189" s="43"/>
      <c r="E189" s="43"/>
    </row>
    <row r="190" spans="1:5" ht="11.25" customHeight="1">
      <c r="A190" s="43"/>
      <c r="B190" s="43"/>
      <c r="C190" s="43"/>
      <c r="D190" s="43"/>
      <c r="E190" s="43"/>
    </row>
    <row r="191" spans="1:5" ht="11.25" customHeight="1">
      <c r="A191" s="43"/>
      <c r="B191" s="43"/>
      <c r="C191" s="43"/>
      <c r="D191" s="43"/>
      <c r="E191" s="43"/>
    </row>
    <row r="192" spans="1:5" ht="11.25" customHeight="1">
      <c r="A192" s="43"/>
      <c r="B192" s="43"/>
      <c r="C192" s="43"/>
      <c r="D192" s="43"/>
      <c r="E192" s="43"/>
    </row>
    <row r="193" spans="1:5" ht="11.25" customHeight="1">
      <c r="A193" s="43"/>
      <c r="B193" s="43"/>
      <c r="C193" s="43"/>
      <c r="D193" s="43"/>
      <c r="E193" s="43"/>
    </row>
    <row r="194" spans="1:5" ht="11.25" customHeight="1">
      <c r="A194" s="43"/>
      <c r="B194" s="43"/>
      <c r="C194" s="43"/>
      <c r="D194" s="43"/>
      <c r="E194" s="43"/>
    </row>
    <row r="195" spans="1:5" ht="11.25" customHeight="1">
      <c r="A195" s="43"/>
      <c r="B195" s="43"/>
      <c r="C195" s="43"/>
      <c r="D195" s="43"/>
      <c r="E195" s="43"/>
    </row>
    <row r="196" spans="1:5" ht="11.25" customHeight="1">
      <c r="A196" s="43"/>
      <c r="B196" s="43"/>
      <c r="C196" s="43"/>
      <c r="D196" s="43"/>
      <c r="E196" s="43"/>
    </row>
    <row r="197" spans="1:5" ht="11.25" customHeight="1">
      <c r="A197" s="43"/>
      <c r="B197" s="43"/>
      <c r="C197" s="43"/>
      <c r="D197" s="43"/>
      <c r="E197" s="43"/>
    </row>
    <row r="198" spans="1:5" ht="11.25" customHeight="1">
      <c r="A198" s="43"/>
      <c r="B198" s="43"/>
      <c r="C198" s="43"/>
      <c r="D198" s="43"/>
      <c r="E198" s="43"/>
    </row>
    <row r="199" spans="1:5" ht="11.25" customHeight="1">
      <c r="A199" s="43"/>
      <c r="B199" s="43"/>
      <c r="C199" s="43"/>
      <c r="D199" s="43"/>
      <c r="E199" s="43"/>
    </row>
    <row r="200" spans="1:5" ht="11.25" customHeight="1">
      <c r="A200" s="43"/>
      <c r="B200" s="43"/>
      <c r="C200" s="43"/>
      <c r="D200" s="43"/>
      <c r="E200" s="43"/>
    </row>
    <row r="201" spans="1:5" ht="11.25" customHeight="1">
      <c r="A201" s="43"/>
      <c r="B201" s="43"/>
      <c r="C201" s="43"/>
      <c r="D201" s="43"/>
      <c r="E201" s="43"/>
    </row>
    <row r="202" spans="1:5" ht="11.25" customHeight="1">
      <c r="A202" s="43"/>
      <c r="B202" s="43"/>
      <c r="C202" s="43"/>
      <c r="D202" s="43"/>
      <c r="E202" s="43"/>
    </row>
    <row r="203" spans="1:5" ht="11.25" customHeight="1">
      <c r="A203" s="43"/>
      <c r="B203" s="43"/>
      <c r="C203" s="43"/>
      <c r="D203" s="43"/>
      <c r="E203" s="43"/>
    </row>
    <row r="204" spans="1:5" ht="11.25" customHeight="1">
      <c r="A204" s="43"/>
      <c r="B204" s="43"/>
      <c r="C204" s="43"/>
      <c r="D204" s="43"/>
      <c r="E204" s="43"/>
    </row>
    <row r="205" spans="1:5" ht="11.25" customHeight="1">
      <c r="A205" s="43"/>
      <c r="B205" s="43"/>
      <c r="C205" s="43"/>
      <c r="D205" s="43"/>
      <c r="E205" s="43"/>
    </row>
    <row r="206" spans="1:5" ht="11.25" customHeight="1">
      <c r="A206" s="43"/>
      <c r="B206" s="43"/>
      <c r="C206" s="43"/>
      <c r="D206" s="43"/>
      <c r="E206" s="43"/>
    </row>
    <row r="207" spans="1:5" ht="11.25" customHeight="1">
      <c r="A207" s="43"/>
      <c r="B207" s="43"/>
      <c r="C207" s="43"/>
      <c r="D207" s="43"/>
      <c r="E207" s="43"/>
    </row>
    <row r="208" spans="1:5" ht="11.25" customHeight="1">
      <c r="A208" s="43"/>
      <c r="B208" s="43"/>
      <c r="C208" s="43"/>
      <c r="D208" s="43"/>
      <c r="E208" s="43"/>
    </row>
    <row r="209" spans="1:5" ht="11.25" customHeight="1">
      <c r="A209" s="43"/>
      <c r="B209" s="43"/>
      <c r="C209" s="43"/>
      <c r="D209" s="43"/>
      <c r="E209" s="43"/>
    </row>
    <row r="210" spans="1:5" ht="11.25" customHeight="1">
      <c r="A210" s="43"/>
      <c r="B210" s="43"/>
      <c r="C210" s="43"/>
      <c r="D210" s="43"/>
      <c r="E210" s="43"/>
    </row>
    <row r="211" spans="1:5" ht="11.25" customHeight="1">
      <c r="A211" s="43"/>
      <c r="B211" s="43"/>
      <c r="C211" s="43"/>
      <c r="D211" s="43"/>
      <c r="E211" s="43"/>
    </row>
    <row r="212" spans="1:5" ht="11.25" customHeight="1">
      <c r="A212" s="43"/>
      <c r="B212" s="43"/>
      <c r="C212" s="43"/>
      <c r="D212" s="43"/>
      <c r="E212" s="43"/>
    </row>
    <row r="213" spans="1:5" ht="11.25" customHeight="1">
      <c r="A213" s="43"/>
      <c r="B213" s="43"/>
      <c r="C213" s="43"/>
      <c r="D213" s="43"/>
      <c r="E213" s="43"/>
    </row>
    <row r="214" spans="1:5" ht="11.25" customHeight="1">
      <c r="A214" s="43"/>
      <c r="B214" s="43"/>
      <c r="C214" s="43"/>
      <c r="D214" s="43"/>
      <c r="E214" s="43"/>
    </row>
    <row r="215" spans="1:5" ht="11.25" customHeight="1">
      <c r="A215" s="43"/>
      <c r="B215" s="43"/>
      <c r="C215" s="43"/>
      <c r="D215" s="43"/>
      <c r="E215" s="43"/>
    </row>
    <row r="216" spans="1:5" ht="11.25" customHeight="1">
      <c r="A216" s="43"/>
      <c r="B216" s="43"/>
      <c r="C216" s="43"/>
      <c r="D216" s="43"/>
      <c r="E216" s="43"/>
    </row>
    <row r="217" spans="1:5" ht="11.25" customHeight="1">
      <c r="A217" s="43"/>
      <c r="B217" s="43"/>
      <c r="C217" s="43"/>
      <c r="D217" s="43"/>
      <c r="E217" s="43"/>
    </row>
    <row r="218" spans="1:5" ht="11.25" customHeight="1">
      <c r="A218" s="43"/>
      <c r="B218" s="43"/>
      <c r="C218" s="43"/>
      <c r="D218" s="43"/>
      <c r="E218" s="43"/>
    </row>
    <row r="219" spans="1:5" ht="11.25" customHeight="1">
      <c r="A219" s="43"/>
      <c r="B219" s="43"/>
      <c r="C219" s="43"/>
      <c r="D219" s="43"/>
      <c r="E219" s="43"/>
    </row>
    <row r="220" spans="1:5" ht="11.25" customHeight="1">
      <c r="A220" s="43"/>
      <c r="B220" s="43"/>
      <c r="C220" s="43"/>
      <c r="D220" s="43"/>
      <c r="E220" s="43"/>
    </row>
    <row r="221" spans="1:5" ht="11.25" customHeight="1">
      <c r="A221" s="43"/>
      <c r="B221" s="43"/>
      <c r="C221" s="43"/>
      <c r="D221" s="43"/>
      <c r="E221" s="43"/>
    </row>
    <row r="222" spans="1:5" ht="11.25" customHeight="1">
      <c r="A222" s="43"/>
      <c r="B222" s="43"/>
      <c r="C222" s="43"/>
      <c r="D222" s="43"/>
      <c r="E222" s="43"/>
    </row>
    <row r="223" spans="1:5" ht="11.25" customHeight="1">
      <c r="A223" s="43"/>
      <c r="B223" s="43"/>
      <c r="C223" s="43"/>
      <c r="D223" s="43"/>
      <c r="E223" s="43"/>
    </row>
    <row r="224" spans="1:5" ht="11.25" customHeight="1">
      <c r="A224" s="43"/>
      <c r="B224" s="43"/>
      <c r="C224" s="43"/>
      <c r="D224" s="43"/>
      <c r="E224" s="43"/>
    </row>
    <row r="225" spans="1:5" ht="11.25" customHeight="1">
      <c r="A225" s="43"/>
      <c r="B225" s="43"/>
      <c r="C225" s="43"/>
      <c r="D225" s="43"/>
      <c r="E225" s="43"/>
    </row>
    <row r="226" spans="1:5" ht="11.25" customHeight="1">
      <c r="A226" s="43"/>
      <c r="B226" s="43"/>
      <c r="C226" s="43"/>
      <c r="D226" s="43"/>
      <c r="E226" s="43"/>
    </row>
    <row r="227" spans="1:5" ht="11.25" customHeight="1">
      <c r="A227" s="43"/>
      <c r="B227" s="43"/>
      <c r="C227" s="43"/>
      <c r="D227" s="43"/>
      <c r="E227" s="43"/>
    </row>
    <row r="228" spans="1:5" ht="11.25" customHeight="1">
      <c r="A228" s="43"/>
      <c r="B228" s="43"/>
      <c r="C228" s="43"/>
      <c r="D228" s="43"/>
      <c r="E228" s="43"/>
    </row>
    <row r="229" spans="1:5" ht="11.25" customHeight="1">
      <c r="A229" s="43"/>
      <c r="B229" s="43"/>
      <c r="C229" s="43"/>
      <c r="D229" s="43"/>
      <c r="E229" s="43"/>
    </row>
    <row r="230" spans="1:5" ht="11.25" customHeight="1">
      <c r="A230" s="43"/>
      <c r="B230" s="43"/>
      <c r="C230" s="43"/>
      <c r="D230" s="43"/>
      <c r="E230" s="43"/>
    </row>
    <row r="231" spans="1:5" ht="11.25" customHeight="1">
      <c r="A231" s="43"/>
      <c r="B231" s="43"/>
      <c r="C231" s="43"/>
      <c r="D231" s="43"/>
      <c r="E231" s="43"/>
    </row>
    <row r="232" spans="1:5" ht="11.25" customHeight="1">
      <c r="A232" s="43"/>
      <c r="B232" s="43"/>
      <c r="C232" s="43"/>
      <c r="D232" s="43"/>
      <c r="E232" s="43"/>
    </row>
    <row r="233" spans="1:5" ht="11.25" customHeight="1">
      <c r="A233" s="43"/>
      <c r="B233" s="43"/>
      <c r="C233" s="43"/>
      <c r="D233" s="43"/>
      <c r="E233" s="43"/>
    </row>
    <row r="234" spans="1:5" ht="11.25" customHeight="1">
      <c r="A234" s="43"/>
      <c r="B234" s="43"/>
      <c r="C234" s="43"/>
      <c r="D234" s="43"/>
      <c r="E234" s="43"/>
    </row>
    <row r="235" spans="1:5" ht="11.25" customHeight="1">
      <c r="A235" s="43"/>
      <c r="B235" s="43"/>
      <c r="C235" s="43"/>
      <c r="D235" s="43"/>
      <c r="E235" s="43"/>
    </row>
    <row r="236" spans="1:5" ht="11.25" customHeight="1">
      <c r="A236" s="43"/>
      <c r="B236" s="43"/>
      <c r="C236" s="43"/>
      <c r="D236" s="43"/>
      <c r="E236" s="43"/>
    </row>
    <row r="237" spans="1:5" ht="11.25" customHeight="1">
      <c r="A237" s="43"/>
      <c r="B237" s="43"/>
      <c r="C237" s="43"/>
      <c r="D237" s="43"/>
      <c r="E237" s="43"/>
    </row>
    <row r="238" spans="1:5" ht="11.25" customHeight="1">
      <c r="A238" s="43"/>
      <c r="B238" s="43"/>
      <c r="C238" s="43"/>
      <c r="D238" s="43"/>
      <c r="E238" s="43"/>
    </row>
    <row r="239" spans="1:5" ht="11.25" customHeight="1">
      <c r="A239" s="43"/>
      <c r="B239" s="43"/>
      <c r="C239" s="43"/>
      <c r="D239" s="43"/>
      <c r="E239" s="43"/>
    </row>
    <row r="240" spans="1:5" ht="11.25" customHeight="1">
      <c r="A240" s="43"/>
      <c r="B240" s="43"/>
      <c r="C240" s="43"/>
      <c r="D240" s="43"/>
      <c r="E240" s="43"/>
    </row>
    <row r="241" spans="1:5" ht="11.25" customHeight="1">
      <c r="A241" s="43"/>
      <c r="B241" s="43"/>
      <c r="C241" s="43"/>
      <c r="D241" s="43"/>
      <c r="E241" s="43"/>
    </row>
    <row r="242" spans="1:5" ht="11.25" customHeight="1">
      <c r="A242" s="43"/>
      <c r="B242" s="43"/>
      <c r="C242" s="43"/>
      <c r="D242" s="43"/>
      <c r="E242" s="43"/>
    </row>
    <row r="243" spans="1:5" ht="11.25" customHeight="1">
      <c r="A243" s="43"/>
      <c r="B243" s="43"/>
      <c r="C243" s="43"/>
      <c r="D243" s="43"/>
      <c r="E243" s="43"/>
    </row>
    <row r="244" spans="1:5" ht="11.25" customHeight="1">
      <c r="A244" s="43"/>
      <c r="B244" s="43"/>
      <c r="C244" s="43"/>
      <c r="D244" s="43"/>
      <c r="E244" s="43"/>
    </row>
    <row r="245" spans="1:5" ht="11.25" customHeight="1">
      <c r="A245" s="43"/>
      <c r="B245" s="43"/>
      <c r="C245" s="43"/>
      <c r="D245" s="43"/>
      <c r="E245" s="43"/>
    </row>
    <row r="246" spans="1:5" ht="11.25" customHeight="1">
      <c r="A246" s="43"/>
      <c r="B246" s="43"/>
      <c r="C246" s="43"/>
      <c r="D246" s="43"/>
      <c r="E246" s="43"/>
    </row>
    <row r="247" spans="1:5" ht="11.25" customHeight="1">
      <c r="A247" s="43"/>
      <c r="B247" s="43"/>
      <c r="C247" s="43"/>
      <c r="D247" s="43"/>
      <c r="E247" s="43"/>
    </row>
    <row r="248" spans="1:5" ht="11.25" customHeight="1">
      <c r="A248" s="43"/>
      <c r="B248" s="43"/>
      <c r="C248" s="43"/>
      <c r="D248" s="43"/>
      <c r="E248" s="43"/>
    </row>
    <row r="249" spans="1:5" ht="11.25" customHeight="1">
      <c r="A249" s="43"/>
      <c r="B249" s="43"/>
      <c r="C249" s="43"/>
      <c r="D249" s="43"/>
      <c r="E249" s="43"/>
    </row>
    <row r="250" spans="1:5" ht="11.25" customHeight="1">
      <c r="A250" s="43"/>
      <c r="B250" s="43"/>
      <c r="C250" s="43"/>
      <c r="D250" s="43"/>
      <c r="E250" s="43"/>
    </row>
    <row r="251" spans="1:5" ht="11.25" customHeight="1">
      <c r="A251" s="43"/>
      <c r="B251" s="43"/>
      <c r="C251" s="43"/>
      <c r="D251" s="43"/>
      <c r="E251" s="43"/>
    </row>
    <row r="252" spans="1:5" ht="11.25" customHeight="1">
      <c r="A252" s="43"/>
      <c r="B252" s="43"/>
      <c r="C252" s="43"/>
      <c r="D252" s="43"/>
      <c r="E252" s="43"/>
    </row>
    <row r="253" spans="1:5" ht="11.25" customHeight="1">
      <c r="A253" s="43"/>
      <c r="B253" s="43"/>
      <c r="C253" s="43"/>
      <c r="D253" s="43"/>
      <c r="E253" s="43"/>
    </row>
    <row r="254" spans="1:5" ht="11.25" customHeight="1">
      <c r="A254" s="43"/>
      <c r="B254" s="43"/>
      <c r="C254" s="43"/>
      <c r="D254" s="43"/>
      <c r="E254" s="43"/>
    </row>
    <row r="255" spans="1:5" ht="11.25" customHeight="1">
      <c r="A255" s="43"/>
      <c r="B255" s="43"/>
      <c r="C255" s="43"/>
      <c r="D255" s="43"/>
      <c r="E255" s="43"/>
    </row>
    <row r="256" spans="1:5" ht="11.25" customHeight="1">
      <c r="A256" s="43"/>
      <c r="B256" s="43"/>
      <c r="C256" s="43"/>
      <c r="D256" s="43"/>
      <c r="E256" s="43"/>
    </row>
    <row r="257" spans="1:5" ht="11.25" customHeight="1">
      <c r="A257" s="43"/>
      <c r="B257" s="43"/>
      <c r="C257" s="43"/>
      <c r="D257" s="43"/>
      <c r="E257" s="43"/>
    </row>
    <row r="258" spans="1:5" ht="11.25" customHeight="1">
      <c r="A258" s="43"/>
      <c r="B258" s="43"/>
      <c r="C258" s="43"/>
      <c r="D258" s="43"/>
      <c r="E258" s="43"/>
    </row>
    <row r="259" spans="1:5" ht="11.25" customHeight="1">
      <c r="A259" s="43"/>
      <c r="B259" s="43"/>
      <c r="C259" s="43"/>
      <c r="D259" s="43"/>
      <c r="E259" s="43"/>
    </row>
    <row r="260" spans="1:5" ht="11.25" customHeight="1">
      <c r="A260" s="43"/>
      <c r="B260" s="43"/>
      <c r="C260" s="43"/>
      <c r="D260" s="43"/>
      <c r="E260" s="43"/>
    </row>
    <row r="261" spans="1:5" ht="11.25" customHeight="1">
      <c r="A261" s="43"/>
      <c r="B261" s="43"/>
      <c r="C261" s="43"/>
      <c r="D261" s="43"/>
      <c r="E261" s="43"/>
    </row>
    <row r="262" spans="1:5" ht="11.25" customHeight="1">
      <c r="A262" s="43"/>
      <c r="B262" s="43"/>
      <c r="C262" s="43"/>
      <c r="D262" s="43"/>
      <c r="E262" s="43"/>
    </row>
    <row r="263" spans="1:5" ht="11.25" customHeight="1">
      <c r="A263" s="43"/>
      <c r="B263" s="43"/>
      <c r="C263" s="43"/>
      <c r="D263" s="43"/>
      <c r="E263" s="43"/>
    </row>
    <row r="264" spans="1:5" ht="11.25" customHeight="1">
      <c r="A264" s="43"/>
      <c r="B264" s="43"/>
      <c r="C264" s="43"/>
      <c r="D264" s="43"/>
      <c r="E264" s="43"/>
    </row>
    <row r="265" spans="1:5" ht="11.25" customHeight="1">
      <c r="A265" s="43"/>
      <c r="B265" s="43"/>
      <c r="C265" s="43"/>
      <c r="D265" s="43"/>
      <c r="E265" s="43"/>
    </row>
    <row r="266" spans="1:5" ht="11.25" customHeight="1">
      <c r="A266" s="43"/>
      <c r="B266" s="43"/>
      <c r="C266" s="43"/>
      <c r="D266" s="43"/>
      <c r="E266" s="43"/>
    </row>
    <row r="267" spans="1:5" ht="11.25" customHeight="1">
      <c r="A267" s="43"/>
      <c r="B267" s="43"/>
      <c r="C267" s="43"/>
      <c r="D267" s="43"/>
      <c r="E267" s="43"/>
    </row>
    <row r="268" spans="1:5" ht="11.25" customHeight="1">
      <c r="A268" s="43"/>
      <c r="B268" s="43"/>
      <c r="C268" s="43"/>
      <c r="D268" s="43"/>
      <c r="E268" s="43"/>
    </row>
    <row r="269" spans="1:5" ht="11.25" customHeight="1">
      <c r="A269" s="43"/>
      <c r="B269" s="43"/>
      <c r="C269" s="43"/>
      <c r="D269" s="43"/>
      <c r="E269" s="43"/>
    </row>
    <row r="270" spans="1:5" ht="11.25" customHeight="1">
      <c r="A270" s="43"/>
      <c r="B270" s="43"/>
      <c r="C270" s="43"/>
      <c r="D270" s="43"/>
      <c r="E270" s="43"/>
    </row>
    <row r="271" spans="1:5" ht="11.25" customHeight="1">
      <c r="A271" s="43"/>
      <c r="B271" s="43"/>
      <c r="C271" s="43"/>
      <c r="D271" s="43"/>
      <c r="E271" s="43"/>
    </row>
    <row r="272" spans="1:5" ht="11.25" customHeight="1">
      <c r="A272" s="43"/>
      <c r="B272" s="43"/>
      <c r="C272" s="43"/>
      <c r="D272" s="43"/>
      <c r="E272" s="43"/>
    </row>
    <row r="273" spans="1:5" ht="11.25" customHeight="1">
      <c r="A273" s="43"/>
      <c r="B273" s="43"/>
      <c r="C273" s="43"/>
      <c r="D273" s="43"/>
      <c r="E273" s="43"/>
    </row>
    <row r="274" spans="1:5" ht="11.25" customHeight="1">
      <c r="A274" s="43"/>
      <c r="B274" s="43"/>
      <c r="C274" s="43"/>
      <c r="D274" s="43"/>
      <c r="E274" s="43"/>
    </row>
    <row r="275" spans="1:5" ht="11.25" customHeight="1">
      <c r="A275" s="43"/>
      <c r="B275" s="43"/>
      <c r="C275" s="43"/>
      <c r="D275" s="43"/>
      <c r="E275" s="43"/>
    </row>
    <row r="276" spans="1:5" ht="11.25" customHeight="1">
      <c r="A276" s="43"/>
      <c r="B276" s="43"/>
      <c r="C276" s="43"/>
      <c r="D276" s="43"/>
      <c r="E276" s="43"/>
    </row>
    <row r="277" spans="1:5" ht="11.25" customHeight="1">
      <c r="A277" s="43"/>
      <c r="B277" s="43"/>
      <c r="C277" s="43"/>
      <c r="D277" s="43"/>
      <c r="E277" s="43"/>
    </row>
    <row r="278" spans="1:5" ht="11.25" customHeight="1">
      <c r="A278" s="43"/>
      <c r="B278" s="43"/>
      <c r="C278" s="43"/>
      <c r="D278" s="43"/>
      <c r="E278" s="43"/>
    </row>
    <row r="279" spans="1:5" ht="11.25" customHeight="1">
      <c r="A279" s="43"/>
      <c r="B279" s="43"/>
      <c r="C279" s="43"/>
      <c r="D279" s="43"/>
      <c r="E279" s="43"/>
    </row>
    <row r="280" spans="1:5" ht="11.25" customHeight="1">
      <c r="A280" s="43"/>
      <c r="B280" s="43"/>
      <c r="C280" s="43"/>
      <c r="D280" s="43"/>
      <c r="E280" s="43"/>
    </row>
    <row r="281" spans="1:5" ht="11.25" customHeight="1">
      <c r="A281" s="43"/>
      <c r="B281" s="43"/>
      <c r="C281" s="43"/>
      <c r="D281" s="43"/>
      <c r="E281" s="43"/>
    </row>
    <row r="282" spans="1:5" ht="11.25" customHeight="1">
      <c r="A282" s="43"/>
      <c r="B282" s="43"/>
      <c r="C282" s="43"/>
      <c r="D282" s="43"/>
      <c r="E282" s="43"/>
    </row>
    <row r="283" spans="1:5" ht="11.25" customHeight="1">
      <c r="A283" s="43"/>
      <c r="B283" s="43"/>
      <c r="C283" s="43"/>
      <c r="D283" s="43"/>
      <c r="E283" s="43"/>
    </row>
    <row r="284" spans="1:5" ht="11.25" customHeight="1">
      <c r="A284" s="43"/>
      <c r="B284" s="43"/>
      <c r="C284" s="43"/>
      <c r="D284" s="43"/>
      <c r="E284" s="43"/>
    </row>
    <row r="285" spans="1:5" ht="11.25" customHeight="1">
      <c r="A285" s="43"/>
      <c r="B285" s="43"/>
      <c r="C285" s="43"/>
      <c r="D285" s="43"/>
      <c r="E285" s="43"/>
    </row>
    <row r="286" spans="1:5" ht="11.25" customHeight="1">
      <c r="A286" s="43"/>
      <c r="B286" s="43"/>
      <c r="C286" s="43"/>
      <c r="D286" s="43"/>
      <c r="E286" s="43"/>
    </row>
    <row r="287" spans="1:5" ht="11.25" customHeight="1">
      <c r="A287" s="43"/>
      <c r="B287" s="43"/>
      <c r="C287" s="43"/>
      <c r="D287" s="43"/>
      <c r="E287" s="43"/>
    </row>
    <row r="288" spans="1:5" ht="11.25" customHeight="1">
      <c r="A288" s="43"/>
      <c r="B288" s="43"/>
      <c r="C288" s="43"/>
      <c r="D288" s="43"/>
      <c r="E288" s="43"/>
    </row>
    <row r="289" spans="1:5" ht="11.25" customHeight="1">
      <c r="A289" s="43"/>
      <c r="B289" s="43"/>
      <c r="C289" s="43"/>
      <c r="D289" s="43"/>
      <c r="E289" s="43"/>
    </row>
    <row r="290" spans="1:5" ht="11.25" customHeight="1">
      <c r="A290" s="43"/>
      <c r="B290" s="43"/>
      <c r="C290" s="43"/>
      <c r="D290" s="43"/>
      <c r="E290" s="43"/>
    </row>
    <row r="291" spans="1:5" ht="11.25" customHeight="1">
      <c r="A291" s="43"/>
      <c r="B291" s="43"/>
      <c r="C291" s="43"/>
      <c r="D291" s="43"/>
      <c r="E291" s="43"/>
    </row>
    <row r="292" spans="1:5" ht="11.25" customHeight="1">
      <c r="A292" s="43"/>
      <c r="B292" s="43"/>
      <c r="C292" s="43"/>
      <c r="D292" s="43"/>
      <c r="E292" s="43"/>
    </row>
    <row r="293" spans="1:5" ht="11.25" customHeight="1">
      <c r="A293" s="43"/>
      <c r="B293" s="43"/>
      <c r="C293" s="43"/>
      <c r="D293" s="43"/>
      <c r="E293" s="43"/>
    </row>
    <row r="294" spans="1:5" ht="11.25" customHeight="1">
      <c r="A294" s="43"/>
      <c r="B294" s="43"/>
      <c r="C294" s="43"/>
      <c r="D294" s="43"/>
      <c r="E294" s="43"/>
    </row>
    <row r="295" spans="1:5" ht="11.25" customHeight="1">
      <c r="A295" s="43"/>
      <c r="B295" s="43"/>
      <c r="C295" s="43"/>
      <c r="D295" s="43"/>
      <c r="E295" s="43"/>
    </row>
    <row r="296" spans="1:5" ht="11.25" customHeight="1">
      <c r="A296" s="43"/>
      <c r="B296" s="43"/>
      <c r="C296" s="43"/>
      <c r="D296" s="43"/>
      <c r="E296" s="43"/>
    </row>
    <row r="297" spans="1:5" ht="11.25" customHeight="1">
      <c r="A297" s="43"/>
      <c r="B297" s="43"/>
      <c r="C297" s="43"/>
      <c r="D297" s="43"/>
      <c r="E297" s="43"/>
    </row>
    <row r="298" spans="1:5" ht="11.25" customHeight="1">
      <c r="A298" s="43"/>
      <c r="B298" s="43"/>
      <c r="C298" s="43"/>
      <c r="D298" s="43"/>
      <c r="E298" s="43"/>
    </row>
    <row r="299" spans="1:5" ht="11.25" customHeight="1">
      <c r="A299" s="43"/>
      <c r="B299" s="43"/>
      <c r="C299" s="43"/>
      <c r="D299" s="43"/>
      <c r="E299" s="43"/>
    </row>
    <row r="300" spans="1:5" ht="11.25" customHeight="1">
      <c r="A300" s="43"/>
      <c r="B300" s="43"/>
      <c r="C300" s="43"/>
      <c r="D300" s="43"/>
      <c r="E300" s="43"/>
    </row>
    <row r="301" spans="1:5" ht="11.25" customHeight="1">
      <c r="A301" s="43"/>
      <c r="B301" s="43"/>
      <c r="C301" s="43"/>
      <c r="D301" s="43"/>
      <c r="E301" s="43"/>
    </row>
    <row r="302" spans="1:5" ht="11.25" customHeight="1">
      <c r="A302" s="43"/>
      <c r="B302" s="43"/>
      <c r="C302" s="43"/>
      <c r="D302" s="43"/>
      <c r="E302" s="43"/>
    </row>
    <row r="303" spans="1:5" ht="11.25" customHeight="1">
      <c r="A303" s="43"/>
      <c r="B303" s="43"/>
      <c r="C303" s="43"/>
      <c r="D303" s="43"/>
      <c r="E303" s="43"/>
    </row>
    <row r="304" spans="1:5" ht="11.25" customHeight="1">
      <c r="A304" s="43"/>
      <c r="B304" s="43"/>
      <c r="C304" s="43"/>
      <c r="D304" s="43"/>
      <c r="E304" s="43"/>
    </row>
    <row r="305" spans="1:5" ht="11.25" customHeight="1">
      <c r="A305" s="43"/>
      <c r="B305" s="43"/>
      <c r="C305" s="43"/>
      <c r="D305" s="43"/>
      <c r="E305" s="43"/>
    </row>
    <row r="306" spans="1:5" ht="11.25" customHeight="1">
      <c r="A306" s="43"/>
      <c r="B306" s="43"/>
      <c r="C306" s="43"/>
      <c r="D306" s="43"/>
      <c r="E306" s="43"/>
    </row>
    <row r="307" spans="1:5" ht="11.25" customHeight="1">
      <c r="A307" s="43"/>
      <c r="B307" s="43"/>
      <c r="C307" s="43"/>
      <c r="D307" s="43"/>
      <c r="E307" s="43"/>
    </row>
    <row r="308" spans="1:5" ht="11.25" customHeight="1">
      <c r="A308" s="43"/>
      <c r="B308" s="43"/>
      <c r="C308" s="43"/>
      <c r="D308" s="43"/>
      <c r="E308" s="43"/>
    </row>
    <row r="309" spans="1:5" ht="11.25" customHeight="1">
      <c r="A309" s="43"/>
      <c r="B309" s="43"/>
      <c r="C309" s="43"/>
      <c r="D309" s="43"/>
      <c r="E309" s="43"/>
    </row>
    <row r="310" spans="1:5" ht="11.25" customHeight="1">
      <c r="A310" s="43"/>
      <c r="B310" s="43"/>
      <c r="C310" s="43"/>
      <c r="D310" s="43"/>
      <c r="E310" s="43"/>
    </row>
    <row r="311" spans="1:5" ht="11.25" customHeight="1">
      <c r="A311" s="43"/>
      <c r="B311" s="43"/>
      <c r="C311" s="43"/>
      <c r="D311" s="43"/>
      <c r="E311" s="43"/>
    </row>
    <row r="312" spans="1:5" ht="11.25" customHeight="1">
      <c r="A312" s="43"/>
      <c r="B312" s="43"/>
      <c r="C312" s="43"/>
      <c r="D312" s="43"/>
      <c r="E312" s="43"/>
    </row>
    <row r="313" spans="1:5" ht="11.25" customHeight="1">
      <c r="A313" s="43"/>
      <c r="B313" s="43"/>
      <c r="C313" s="43"/>
      <c r="D313" s="43"/>
      <c r="E313" s="43"/>
    </row>
    <row r="314" spans="1:5" ht="11.25" customHeight="1">
      <c r="A314" s="43"/>
      <c r="B314" s="43"/>
      <c r="C314" s="43"/>
      <c r="D314" s="43"/>
      <c r="E314" s="43"/>
    </row>
    <row r="315" spans="1:5" ht="11.25" customHeight="1">
      <c r="A315" s="43"/>
      <c r="B315" s="43"/>
      <c r="C315" s="43"/>
      <c r="D315" s="43"/>
      <c r="E315" s="43"/>
    </row>
    <row r="316" spans="1:5" ht="11.25" customHeight="1">
      <c r="A316" s="43"/>
      <c r="B316" s="43"/>
      <c r="C316" s="43"/>
      <c r="D316" s="43"/>
      <c r="E316" s="43"/>
    </row>
    <row r="317" spans="1:5" ht="11.25" customHeight="1">
      <c r="A317" s="43"/>
      <c r="B317" s="43"/>
      <c r="C317" s="43"/>
      <c r="D317" s="43"/>
      <c r="E317" s="43"/>
    </row>
    <row r="318" spans="1:5" ht="11.25" customHeight="1">
      <c r="A318" s="43"/>
      <c r="B318" s="43"/>
      <c r="C318" s="43"/>
      <c r="D318" s="43"/>
      <c r="E318" s="43"/>
    </row>
    <row r="319" spans="1:5" ht="11.25" customHeight="1">
      <c r="A319" s="43"/>
      <c r="B319" s="43"/>
      <c r="C319" s="43"/>
      <c r="D319" s="43"/>
      <c r="E319" s="43"/>
    </row>
    <row r="320" spans="1:5" ht="11.25" customHeight="1">
      <c r="A320" s="43"/>
      <c r="B320" s="43"/>
      <c r="C320" s="43"/>
      <c r="D320" s="43"/>
      <c r="E320" s="43"/>
    </row>
    <row r="321" spans="1:5" ht="11.25" customHeight="1">
      <c r="A321" s="43"/>
      <c r="B321" s="43"/>
      <c r="C321" s="43"/>
      <c r="D321" s="43"/>
      <c r="E321" s="43"/>
    </row>
    <row r="322" spans="1:5" ht="11.25" customHeight="1">
      <c r="A322" s="43"/>
      <c r="B322" s="43"/>
      <c r="C322" s="43"/>
      <c r="D322" s="43"/>
      <c r="E322" s="43"/>
    </row>
    <row r="323" spans="1:5" ht="11.25" customHeight="1">
      <c r="A323" s="43"/>
      <c r="B323" s="43"/>
      <c r="C323" s="43"/>
      <c r="D323" s="43"/>
      <c r="E323" s="43"/>
    </row>
    <row r="324" spans="1:5" ht="11.25" customHeight="1">
      <c r="A324" s="43"/>
      <c r="B324" s="43"/>
      <c r="C324" s="43"/>
      <c r="D324" s="43"/>
      <c r="E324" s="43"/>
    </row>
    <row r="325" spans="1:5" ht="11.25" customHeight="1">
      <c r="A325" s="43"/>
      <c r="B325" s="43"/>
      <c r="C325" s="43"/>
      <c r="D325" s="43"/>
      <c r="E325" s="43"/>
    </row>
    <row r="326" spans="1:5" ht="11.25" customHeight="1">
      <c r="A326" s="43"/>
      <c r="B326" s="43"/>
      <c r="C326" s="43"/>
      <c r="D326" s="43"/>
      <c r="E326" s="43"/>
    </row>
    <row r="327" spans="1:5" ht="11.25" customHeight="1">
      <c r="A327" s="43"/>
      <c r="B327" s="43"/>
      <c r="C327" s="43"/>
      <c r="D327" s="43"/>
      <c r="E327" s="43"/>
    </row>
    <row r="328" spans="1:5" ht="11.25" customHeight="1">
      <c r="A328" s="43"/>
      <c r="B328" s="43"/>
      <c r="C328" s="43"/>
      <c r="D328" s="43"/>
      <c r="E328" s="43"/>
    </row>
    <row r="329" spans="1:5" ht="11.25" customHeight="1">
      <c r="A329" s="43"/>
      <c r="B329" s="43"/>
      <c r="C329" s="43"/>
      <c r="D329" s="43"/>
      <c r="E329" s="43"/>
    </row>
    <row r="330" spans="1:5" ht="11.25" customHeight="1">
      <c r="A330" s="43"/>
      <c r="B330" s="43"/>
      <c r="C330" s="43"/>
      <c r="D330" s="43"/>
      <c r="E330" s="43"/>
    </row>
    <row r="331" spans="1:5" ht="11.25" customHeight="1">
      <c r="A331" s="43"/>
      <c r="B331" s="43"/>
      <c r="C331" s="43"/>
      <c r="D331" s="43"/>
      <c r="E331" s="43"/>
    </row>
    <row r="332" spans="1:5" ht="11.25" customHeight="1">
      <c r="A332" s="43"/>
      <c r="B332" s="43"/>
      <c r="C332" s="43"/>
      <c r="D332" s="43"/>
      <c r="E332" s="43"/>
    </row>
    <row r="333" spans="1:5" ht="11.25" customHeight="1">
      <c r="A333" s="43"/>
      <c r="B333" s="43"/>
      <c r="C333" s="43"/>
      <c r="D333" s="43"/>
      <c r="E333" s="43"/>
    </row>
    <row r="334" spans="1:5" ht="11.25" customHeight="1">
      <c r="A334" s="43"/>
      <c r="B334" s="43"/>
      <c r="C334" s="43"/>
      <c r="D334" s="43"/>
      <c r="E334" s="43"/>
    </row>
    <row r="335" spans="1:5" ht="11.25" customHeight="1">
      <c r="A335" s="43"/>
      <c r="B335" s="43"/>
      <c r="C335" s="43"/>
      <c r="D335" s="43"/>
      <c r="E335" s="43"/>
    </row>
    <row r="336" spans="1:5" ht="11.25" customHeight="1">
      <c r="A336" s="43"/>
      <c r="B336" s="43"/>
      <c r="C336" s="43"/>
      <c r="D336" s="43"/>
      <c r="E336" s="43"/>
    </row>
    <row r="337" spans="1:5" ht="11.25" customHeight="1">
      <c r="A337" s="43"/>
      <c r="B337" s="43"/>
      <c r="C337" s="43"/>
      <c r="D337" s="43"/>
      <c r="E337" s="43"/>
    </row>
    <row r="338" spans="1:5" ht="11.25" customHeight="1">
      <c r="A338" s="43"/>
      <c r="B338" s="43"/>
      <c r="C338" s="43"/>
      <c r="D338" s="43"/>
      <c r="E338" s="43"/>
    </row>
    <row r="339" spans="1:5" ht="11.25" customHeight="1">
      <c r="A339" s="43"/>
      <c r="B339" s="43"/>
      <c r="C339" s="43"/>
      <c r="D339" s="43"/>
      <c r="E339" s="43"/>
    </row>
    <row r="340" spans="1:5" ht="11.25" customHeight="1">
      <c r="A340" s="43"/>
      <c r="B340" s="43"/>
      <c r="C340" s="43"/>
      <c r="D340" s="43"/>
      <c r="E340" s="43"/>
    </row>
    <row r="341" spans="1:5" ht="11.25" customHeight="1">
      <c r="A341" s="43"/>
      <c r="B341" s="43"/>
      <c r="C341" s="43"/>
      <c r="D341" s="43"/>
      <c r="E341" s="43"/>
    </row>
    <row r="342" spans="1:5" ht="11.25" customHeight="1">
      <c r="A342" s="43"/>
      <c r="B342" s="43"/>
      <c r="C342" s="43"/>
      <c r="D342" s="43"/>
      <c r="E342" s="43"/>
    </row>
    <row r="343" spans="1:5" ht="11.25" customHeight="1">
      <c r="A343" s="43"/>
      <c r="B343" s="43"/>
      <c r="C343" s="43"/>
      <c r="D343" s="43"/>
      <c r="E343" s="43"/>
    </row>
    <row r="344" spans="1:5" ht="11.25" customHeight="1">
      <c r="A344" s="43"/>
      <c r="B344" s="43"/>
      <c r="C344" s="43"/>
      <c r="D344" s="43"/>
      <c r="E344" s="43"/>
    </row>
    <row r="345" spans="1:5" ht="11.25" customHeight="1">
      <c r="A345" s="43"/>
      <c r="B345" s="43"/>
      <c r="C345" s="43"/>
      <c r="D345" s="43"/>
      <c r="E345" s="43"/>
    </row>
    <row r="346" spans="1:5" ht="11.25" customHeight="1">
      <c r="A346" s="43"/>
      <c r="B346" s="43"/>
      <c r="C346" s="43"/>
      <c r="D346" s="43"/>
      <c r="E346" s="43"/>
    </row>
    <row r="347" spans="1:5" ht="11.25" customHeight="1">
      <c r="A347" s="43"/>
      <c r="B347" s="43"/>
      <c r="C347" s="43"/>
      <c r="D347" s="43"/>
      <c r="E347" s="43"/>
    </row>
    <row r="348" spans="1:5" ht="11.25" customHeight="1">
      <c r="A348" s="43"/>
      <c r="B348" s="43"/>
      <c r="C348" s="43"/>
      <c r="D348" s="43"/>
      <c r="E348" s="43"/>
    </row>
    <row r="349" spans="1:5" ht="11.25" customHeight="1">
      <c r="A349" s="43"/>
      <c r="B349" s="43"/>
      <c r="C349" s="43"/>
      <c r="D349" s="43"/>
      <c r="E349" s="43"/>
    </row>
    <row r="350" spans="1:5" ht="11.25" customHeight="1">
      <c r="A350" s="43"/>
      <c r="B350" s="43"/>
      <c r="C350" s="43"/>
      <c r="D350" s="43"/>
      <c r="E350" s="43"/>
    </row>
    <row r="351" spans="1:5" ht="11.25" customHeight="1">
      <c r="A351" s="43"/>
      <c r="B351" s="43"/>
      <c r="C351" s="43"/>
      <c r="D351" s="43"/>
      <c r="E351" s="43"/>
    </row>
    <row r="352" spans="1:5" ht="11.25" customHeight="1">
      <c r="A352" s="43"/>
      <c r="B352" s="43"/>
      <c r="C352" s="43"/>
      <c r="D352" s="43"/>
      <c r="E352" s="43"/>
    </row>
    <row r="353" spans="1:5" ht="11.25" customHeight="1">
      <c r="A353" s="43"/>
      <c r="B353" s="43"/>
      <c r="C353" s="43"/>
      <c r="D353" s="43"/>
      <c r="E353" s="43"/>
    </row>
    <row r="354" spans="1:5" ht="11.25" customHeight="1">
      <c r="A354" s="43"/>
      <c r="B354" s="43"/>
      <c r="C354" s="43"/>
      <c r="D354" s="43"/>
      <c r="E354" s="43"/>
    </row>
    <row r="355" spans="1:5" ht="11.25" customHeight="1">
      <c r="A355" s="43"/>
      <c r="B355" s="43"/>
      <c r="C355" s="43"/>
      <c r="D355" s="43"/>
      <c r="E355" s="43"/>
    </row>
    <row r="356" spans="1:5" ht="11.25" customHeight="1">
      <c r="A356" s="43"/>
      <c r="B356" s="43"/>
      <c r="C356" s="43"/>
      <c r="D356" s="43"/>
      <c r="E356" s="43"/>
    </row>
    <row r="357" spans="1:5" ht="11.25" customHeight="1">
      <c r="A357" s="43"/>
      <c r="B357" s="43"/>
      <c r="C357" s="43"/>
      <c r="D357" s="43"/>
      <c r="E357" s="43"/>
    </row>
    <row r="358" spans="1:5" ht="11.25" customHeight="1">
      <c r="A358" s="43"/>
      <c r="B358" s="43"/>
      <c r="C358" s="43"/>
      <c r="D358" s="43"/>
      <c r="E358" s="43"/>
    </row>
    <row r="359" spans="1:5" ht="11.25" customHeight="1">
      <c r="A359" s="43"/>
      <c r="B359" s="43"/>
      <c r="C359" s="43"/>
      <c r="D359" s="43"/>
      <c r="E359" s="43"/>
    </row>
    <row r="360" spans="1:5" ht="11.25" customHeight="1">
      <c r="A360" s="43"/>
      <c r="B360" s="43"/>
      <c r="C360" s="43"/>
      <c r="D360" s="43"/>
      <c r="E360" s="43"/>
    </row>
    <row r="361" spans="1:5" ht="11.25" customHeight="1">
      <c r="A361" s="43"/>
      <c r="B361" s="43"/>
      <c r="C361" s="43"/>
      <c r="D361" s="43"/>
      <c r="E361" s="43"/>
    </row>
    <row r="362" spans="1:5" ht="11.25" customHeight="1">
      <c r="A362" s="43"/>
      <c r="B362" s="43"/>
      <c r="C362" s="43"/>
      <c r="D362" s="43"/>
      <c r="E362" s="43"/>
    </row>
    <row r="363" spans="1:5" ht="11.25" customHeight="1">
      <c r="A363" s="43"/>
      <c r="B363" s="43"/>
      <c r="C363" s="43"/>
      <c r="D363" s="43"/>
      <c r="E363" s="43"/>
    </row>
    <row r="364" spans="1:5" ht="11.25" customHeight="1">
      <c r="A364" s="43"/>
      <c r="B364" s="43"/>
      <c r="C364" s="43"/>
      <c r="D364" s="43"/>
      <c r="E364" s="43"/>
    </row>
    <row r="365" spans="1:5" ht="11.25" customHeight="1">
      <c r="A365" s="43"/>
      <c r="B365" s="43"/>
      <c r="C365" s="43"/>
      <c r="D365" s="43"/>
      <c r="E365" s="43"/>
    </row>
    <row r="366" spans="1:5" ht="11.25" customHeight="1">
      <c r="A366" s="43"/>
      <c r="B366" s="43"/>
      <c r="C366" s="43"/>
      <c r="D366" s="43"/>
      <c r="E366" s="43"/>
    </row>
    <row r="367" spans="1:5" ht="11.25" customHeight="1">
      <c r="A367" s="43"/>
      <c r="B367" s="43"/>
      <c r="C367" s="43"/>
      <c r="D367" s="43"/>
      <c r="E367" s="43"/>
    </row>
    <row r="368" spans="1:5" ht="11.25" customHeight="1">
      <c r="A368" s="43"/>
      <c r="B368" s="43"/>
      <c r="C368" s="43"/>
      <c r="D368" s="43"/>
      <c r="E368" s="43"/>
    </row>
    <row r="369" spans="1:5" ht="11.25" customHeight="1">
      <c r="A369" s="43"/>
      <c r="B369" s="43"/>
      <c r="C369" s="43"/>
      <c r="D369" s="43"/>
      <c r="E369" s="43"/>
    </row>
    <row r="370" spans="1:5" ht="11.25" customHeight="1">
      <c r="A370" s="43"/>
      <c r="B370" s="43"/>
      <c r="C370" s="43"/>
      <c r="D370" s="43"/>
      <c r="E370" s="43"/>
    </row>
    <row r="371" spans="1:5" ht="11.25" customHeight="1">
      <c r="A371" s="43"/>
      <c r="B371" s="43"/>
      <c r="C371" s="43"/>
      <c r="D371" s="43"/>
      <c r="E371" s="43"/>
    </row>
    <row r="372" spans="1:5" ht="11.25" customHeight="1">
      <c r="A372" s="43"/>
      <c r="B372" s="43"/>
      <c r="C372" s="43"/>
      <c r="D372" s="43"/>
      <c r="E372" s="43"/>
    </row>
    <row r="373" spans="1:5" ht="11.25" customHeight="1">
      <c r="A373" s="43"/>
      <c r="B373" s="43"/>
      <c r="C373" s="43"/>
      <c r="D373" s="43"/>
      <c r="E373" s="43"/>
    </row>
    <row r="374" spans="1:5" ht="11.25" customHeight="1">
      <c r="A374" s="43"/>
      <c r="B374" s="43"/>
      <c r="C374" s="43"/>
      <c r="D374" s="43"/>
      <c r="E374" s="43"/>
    </row>
    <row r="375" spans="1:5" ht="11.25" customHeight="1">
      <c r="A375" s="43"/>
      <c r="B375" s="43"/>
      <c r="C375" s="43"/>
      <c r="D375" s="43"/>
      <c r="E375" s="43"/>
    </row>
    <row r="376" spans="1:5" ht="11.25" customHeight="1">
      <c r="A376" s="43"/>
      <c r="B376" s="43"/>
      <c r="C376" s="43"/>
      <c r="D376" s="43"/>
      <c r="E376" s="43"/>
    </row>
    <row r="377" spans="1:5" ht="11.25" customHeight="1">
      <c r="A377" s="43"/>
      <c r="B377" s="43"/>
      <c r="C377" s="43"/>
      <c r="D377" s="43"/>
      <c r="E377" s="43"/>
    </row>
    <row r="378" spans="1:5" ht="11.25" customHeight="1">
      <c r="A378" s="43"/>
      <c r="B378" s="43"/>
      <c r="C378" s="43"/>
      <c r="D378" s="43"/>
      <c r="E378" s="43"/>
    </row>
    <row r="379" spans="1:5" ht="11.25" customHeight="1">
      <c r="A379" s="43"/>
      <c r="B379" s="43"/>
      <c r="C379" s="43"/>
      <c r="D379" s="43"/>
      <c r="E379" s="43"/>
    </row>
    <row r="380" spans="1:5" ht="11.25" customHeight="1">
      <c r="A380" s="43"/>
      <c r="B380" s="43"/>
      <c r="C380" s="43"/>
      <c r="D380" s="43"/>
      <c r="E380" s="43"/>
    </row>
    <row r="381" spans="1:5" ht="11.25" customHeight="1">
      <c r="A381" s="43"/>
      <c r="B381" s="43"/>
      <c r="C381" s="43"/>
      <c r="D381" s="43"/>
      <c r="E381" s="43"/>
    </row>
    <row r="382" spans="1:5" ht="11.25" customHeight="1">
      <c r="A382" s="43"/>
      <c r="B382" s="43"/>
      <c r="C382" s="43"/>
      <c r="D382" s="43"/>
      <c r="E382" s="43"/>
    </row>
    <row r="383" spans="1:5" ht="11.25" customHeight="1">
      <c r="A383" s="43"/>
      <c r="B383" s="43"/>
      <c r="C383" s="43"/>
      <c r="D383" s="43"/>
      <c r="E383" s="43"/>
    </row>
    <row r="384" spans="1:5" ht="11.25" customHeight="1">
      <c r="A384" s="43"/>
      <c r="B384" s="43"/>
      <c r="C384" s="43"/>
      <c r="D384" s="43"/>
      <c r="E384" s="43"/>
    </row>
    <row r="385" spans="1:5" ht="11.25" customHeight="1">
      <c r="A385" s="43"/>
      <c r="B385" s="43"/>
      <c r="C385" s="43"/>
      <c r="D385" s="43"/>
      <c r="E385" s="43"/>
    </row>
    <row r="386" spans="1:5" ht="11.25" customHeight="1">
      <c r="A386" s="43"/>
      <c r="B386" s="43"/>
      <c r="C386" s="43"/>
      <c r="D386" s="43"/>
      <c r="E386" s="43"/>
    </row>
    <row r="387" spans="1:5" ht="11.25" customHeight="1">
      <c r="A387" s="43"/>
      <c r="B387" s="43"/>
      <c r="C387" s="43"/>
      <c r="D387" s="43"/>
      <c r="E387" s="43"/>
    </row>
    <row r="388" spans="1:5" ht="11.25" customHeight="1">
      <c r="A388" s="43"/>
      <c r="B388" s="43"/>
      <c r="C388" s="43"/>
      <c r="D388" s="43"/>
      <c r="E388" s="43"/>
    </row>
    <row r="389" spans="1:5" ht="11.25" customHeight="1">
      <c r="A389" s="43"/>
      <c r="B389" s="43"/>
      <c r="C389" s="43"/>
      <c r="D389" s="43"/>
      <c r="E389" s="43"/>
    </row>
    <row r="390" spans="1:5" ht="11.25" customHeight="1">
      <c r="A390" s="43"/>
      <c r="B390" s="43"/>
      <c r="C390" s="43"/>
      <c r="D390" s="43"/>
      <c r="E390" s="43"/>
    </row>
    <row r="391" spans="1:5" ht="11.25" customHeight="1">
      <c r="A391" s="43"/>
      <c r="B391" s="43"/>
      <c r="C391" s="43"/>
      <c r="D391" s="43"/>
      <c r="E391" s="43"/>
    </row>
    <row r="392" spans="1:5" ht="11.25" customHeight="1">
      <c r="A392" s="43"/>
      <c r="B392" s="43"/>
      <c r="C392" s="43"/>
      <c r="D392" s="43"/>
      <c r="E392" s="43"/>
    </row>
    <row r="393" spans="1:5" ht="11.25" customHeight="1">
      <c r="A393" s="43"/>
      <c r="B393" s="43"/>
      <c r="C393" s="43"/>
      <c r="D393" s="43"/>
      <c r="E393" s="43"/>
    </row>
    <row r="394" spans="1:5" ht="11.25" customHeight="1">
      <c r="A394" s="43"/>
      <c r="B394" s="43"/>
      <c r="C394" s="43"/>
      <c r="D394" s="43"/>
      <c r="E394" s="43"/>
    </row>
    <row r="395" spans="1:5" ht="11.25" customHeight="1">
      <c r="A395" s="43"/>
      <c r="B395" s="43"/>
      <c r="C395" s="43"/>
      <c r="D395" s="43"/>
      <c r="E395" s="43"/>
    </row>
    <row r="396" spans="1:5" ht="11.25" customHeight="1">
      <c r="A396" s="43"/>
      <c r="B396" s="43"/>
      <c r="C396" s="43"/>
      <c r="D396" s="43"/>
      <c r="E396" s="43"/>
    </row>
    <row r="397" spans="1:5" ht="11.25" customHeight="1">
      <c r="A397" s="43"/>
      <c r="B397" s="43"/>
      <c r="C397" s="43"/>
      <c r="D397" s="43"/>
      <c r="E397" s="43"/>
    </row>
    <row r="398" spans="1:5" ht="11.25" customHeight="1">
      <c r="A398" s="43"/>
      <c r="B398" s="43"/>
      <c r="C398" s="43"/>
      <c r="D398" s="43"/>
      <c r="E398" s="43"/>
    </row>
    <row r="399" spans="1:5" ht="11.25" customHeight="1">
      <c r="A399" s="43"/>
      <c r="B399" s="43"/>
      <c r="C399" s="43"/>
      <c r="D399" s="43"/>
      <c r="E399" s="43"/>
    </row>
    <row r="400" spans="1:5" ht="11.25" customHeight="1">
      <c r="A400" s="43"/>
      <c r="B400" s="43"/>
      <c r="C400" s="43"/>
      <c r="D400" s="43"/>
      <c r="E400" s="43"/>
    </row>
    <row r="401" spans="1:5" ht="11.25" customHeight="1">
      <c r="A401" s="43"/>
      <c r="B401" s="43"/>
      <c r="C401" s="43"/>
      <c r="D401" s="43"/>
      <c r="E401" s="43"/>
    </row>
    <row r="402" spans="1:5" ht="11.25" customHeight="1">
      <c r="A402" s="43"/>
      <c r="B402" s="43"/>
      <c r="C402" s="43"/>
      <c r="D402" s="43"/>
      <c r="E402" s="43"/>
    </row>
    <row r="403" spans="1:5" ht="11.25" customHeight="1">
      <c r="A403" s="43"/>
      <c r="B403" s="43"/>
      <c r="C403" s="43"/>
      <c r="D403" s="43"/>
      <c r="E403" s="43"/>
    </row>
    <row r="404" spans="1:5" ht="11.25" customHeight="1">
      <c r="A404" s="43"/>
      <c r="B404" s="43"/>
      <c r="C404" s="43"/>
      <c r="D404" s="43"/>
      <c r="E404" s="43"/>
    </row>
    <row r="405" spans="1:5" ht="11.25" customHeight="1">
      <c r="A405" s="43"/>
      <c r="B405" s="43"/>
      <c r="C405" s="43"/>
      <c r="D405" s="43"/>
      <c r="E405" s="43"/>
    </row>
    <row r="406" spans="1:5" ht="11.25" customHeight="1">
      <c r="A406" s="43"/>
      <c r="B406" s="43"/>
      <c r="C406" s="43"/>
      <c r="D406" s="43"/>
      <c r="E406" s="43"/>
    </row>
    <row r="407" spans="1:5" ht="11.25" customHeight="1">
      <c r="A407" s="43"/>
      <c r="B407" s="43"/>
      <c r="C407" s="43"/>
      <c r="D407" s="43"/>
      <c r="E407" s="43"/>
    </row>
    <row r="408" spans="1:5" ht="11.25" customHeight="1">
      <c r="A408" s="43"/>
      <c r="B408" s="43"/>
      <c r="C408" s="43"/>
      <c r="D408" s="43"/>
      <c r="E408" s="43"/>
    </row>
    <row r="409" spans="1:5" ht="11.25" customHeight="1">
      <c r="A409" s="43"/>
      <c r="B409" s="43"/>
      <c r="C409" s="43"/>
      <c r="D409" s="43"/>
      <c r="E409" s="43"/>
    </row>
    <row r="410" spans="1:5" ht="11.25" customHeight="1">
      <c r="A410" s="43"/>
      <c r="B410" s="43"/>
      <c r="C410" s="43"/>
      <c r="D410" s="43"/>
      <c r="E410" s="43"/>
    </row>
    <row r="411" spans="1:5" ht="11.25" customHeight="1">
      <c r="A411" s="43"/>
      <c r="B411" s="43"/>
      <c r="C411" s="43"/>
      <c r="D411" s="43"/>
      <c r="E411" s="43"/>
    </row>
    <row r="412" spans="1:5" ht="11.25" customHeight="1">
      <c r="A412" s="43"/>
      <c r="B412" s="43"/>
      <c r="C412" s="43"/>
      <c r="D412" s="43"/>
      <c r="E412" s="43"/>
    </row>
    <row r="413" spans="1:5" ht="11.25" customHeight="1">
      <c r="A413" s="43"/>
      <c r="B413" s="43"/>
      <c r="C413" s="43"/>
      <c r="D413" s="43"/>
      <c r="E413" s="43"/>
    </row>
    <row r="414" spans="1:5" ht="11.25" customHeight="1">
      <c r="A414" s="43"/>
      <c r="B414" s="43"/>
      <c r="C414" s="43"/>
      <c r="D414" s="43"/>
      <c r="E414" s="43"/>
    </row>
    <row r="415" spans="1:5" ht="11.25" customHeight="1">
      <c r="A415" s="43"/>
      <c r="B415" s="43"/>
      <c r="C415" s="43"/>
      <c r="D415" s="43"/>
      <c r="E415" s="43"/>
    </row>
    <row r="416" spans="1:5" ht="11.25" customHeight="1">
      <c r="A416" s="43"/>
      <c r="B416" s="43"/>
      <c r="C416" s="43"/>
      <c r="D416" s="43"/>
      <c r="E416" s="43"/>
    </row>
    <row r="417" spans="1:5" ht="11.25" customHeight="1">
      <c r="A417" s="43"/>
      <c r="B417" s="43"/>
      <c r="C417" s="43"/>
      <c r="D417" s="43"/>
      <c r="E417" s="43"/>
    </row>
    <row r="418" spans="1:5" ht="11.25" customHeight="1">
      <c r="A418" s="43"/>
      <c r="B418" s="43"/>
      <c r="C418" s="43"/>
      <c r="D418" s="43"/>
      <c r="E418" s="43"/>
    </row>
    <row r="419" spans="1:5" ht="11.25" customHeight="1">
      <c r="A419" s="43"/>
      <c r="B419" s="43"/>
      <c r="C419" s="43"/>
      <c r="D419" s="43"/>
      <c r="E419" s="43"/>
    </row>
    <row r="420" spans="1:5" ht="11.25" customHeight="1">
      <c r="A420" s="43"/>
      <c r="B420" s="43"/>
      <c r="C420" s="43"/>
      <c r="D420" s="43"/>
      <c r="E420" s="43"/>
    </row>
    <row r="421" spans="1:5" ht="11.25" customHeight="1">
      <c r="A421" s="43"/>
      <c r="B421" s="43"/>
      <c r="C421" s="43"/>
      <c r="D421" s="43"/>
      <c r="E421" s="43"/>
    </row>
    <row r="422" spans="1:5" ht="11.25" customHeight="1">
      <c r="A422" s="43"/>
      <c r="B422" s="43"/>
      <c r="C422" s="43"/>
      <c r="D422" s="43"/>
      <c r="E422" s="43"/>
    </row>
    <row r="423" spans="1:5" ht="11.25" customHeight="1">
      <c r="A423" s="43"/>
      <c r="B423" s="43"/>
      <c r="C423" s="43"/>
      <c r="D423" s="43"/>
      <c r="E423" s="43"/>
    </row>
    <row r="424" spans="1:5" ht="11.25" customHeight="1">
      <c r="A424" s="43"/>
      <c r="B424" s="43"/>
      <c r="C424" s="43"/>
      <c r="D424" s="43"/>
      <c r="E424" s="43"/>
    </row>
    <row r="425" spans="1:5" ht="11.25" customHeight="1">
      <c r="A425" s="43"/>
      <c r="B425" s="43"/>
      <c r="C425" s="43"/>
      <c r="D425" s="43"/>
      <c r="E425" s="43"/>
    </row>
    <row r="426" spans="1:5" ht="11.25" customHeight="1">
      <c r="A426" s="43"/>
      <c r="B426" s="43"/>
      <c r="C426" s="43"/>
      <c r="D426" s="43"/>
      <c r="E426" s="43"/>
    </row>
    <row r="427" spans="1:5" ht="11.25" customHeight="1">
      <c r="A427" s="43"/>
      <c r="B427" s="43"/>
      <c r="C427" s="43"/>
      <c r="D427" s="43"/>
      <c r="E427" s="43"/>
    </row>
    <row r="428" spans="1:5" ht="11.25" customHeight="1">
      <c r="A428" s="43"/>
      <c r="B428" s="43"/>
      <c r="C428" s="43"/>
      <c r="D428" s="43"/>
      <c r="E428" s="43"/>
    </row>
    <row r="429" spans="1:5" ht="11.25" customHeight="1">
      <c r="A429" s="43"/>
      <c r="B429" s="43"/>
      <c r="C429" s="43"/>
      <c r="D429" s="43"/>
      <c r="E429" s="43"/>
    </row>
    <row r="430" spans="1:5" ht="11.25" customHeight="1">
      <c r="A430" s="43"/>
      <c r="B430" s="43"/>
      <c r="C430" s="43"/>
      <c r="D430" s="43"/>
      <c r="E430" s="43"/>
    </row>
    <row r="431" spans="1:5" ht="11.25" customHeight="1">
      <c r="A431" s="43"/>
      <c r="B431" s="43"/>
      <c r="C431" s="43"/>
      <c r="D431" s="43"/>
      <c r="E431" s="43"/>
    </row>
    <row r="432" spans="1:5" ht="11.25" customHeight="1">
      <c r="A432" s="43"/>
      <c r="B432" s="43"/>
      <c r="C432" s="43"/>
      <c r="D432" s="43"/>
      <c r="E432" s="43"/>
    </row>
    <row r="433" spans="1:5" ht="11.25" customHeight="1">
      <c r="A433" s="43"/>
      <c r="B433" s="43"/>
      <c r="C433" s="43"/>
      <c r="D433" s="43"/>
      <c r="E433" s="43"/>
    </row>
    <row r="434" spans="1:5" ht="11.25" customHeight="1">
      <c r="A434" s="43"/>
      <c r="B434" s="43"/>
      <c r="C434" s="43"/>
      <c r="D434" s="43"/>
      <c r="E434" s="43"/>
    </row>
    <row r="435" spans="1:5" ht="11.25" customHeight="1">
      <c r="A435" s="43"/>
      <c r="B435" s="43"/>
      <c r="C435" s="43"/>
      <c r="D435" s="43"/>
      <c r="E435" s="43"/>
    </row>
    <row r="436" spans="1:5" ht="11.25" customHeight="1">
      <c r="A436" s="43"/>
      <c r="B436" s="43"/>
      <c r="C436" s="43"/>
      <c r="D436" s="43"/>
      <c r="E436" s="43"/>
    </row>
    <row r="437" spans="1:5" ht="11.25" customHeight="1">
      <c r="A437" s="43"/>
      <c r="B437" s="43"/>
      <c r="C437" s="43"/>
      <c r="D437" s="43"/>
      <c r="E437" s="43"/>
    </row>
    <row r="438" spans="1:5" ht="11.25" customHeight="1">
      <c r="A438" s="43"/>
      <c r="B438" s="43"/>
      <c r="C438" s="43"/>
      <c r="D438" s="43"/>
      <c r="E438" s="43"/>
    </row>
    <row r="439" spans="1:5" ht="11.25" customHeight="1">
      <c r="A439" s="43"/>
      <c r="B439" s="43"/>
      <c r="C439" s="43"/>
      <c r="D439" s="43"/>
      <c r="E439" s="43"/>
    </row>
    <row r="440" spans="1:5" ht="11.25" customHeight="1">
      <c r="A440" s="43"/>
      <c r="B440" s="43"/>
      <c r="C440" s="43"/>
      <c r="D440" s="43"/>
      <c r="E440" s="43"/>
    </row>
    <row r="441" spans="1:5" ht="11.25" customHeight="1">
      <c r="A441" s="43"/>
      <c r="B441" s="43"/>
      <c r="C441" s="43"/>
      <c r="D441" s="43"/>
      <c r="E441" s="43"/>
    </row>
    <row r="442" spans="1:5" ht="11.25" customHeight="1">
      <c r="A442" s="43"/>
      <c r="B442" s="43"/>
      <c r="C442" s="43"/>
      <c r="D442" s="43"/>
      <c r="E442" s="43"/>
    </row>
    <row r="443" spans="1:5" ht="11.25" customHeight="1">
      <c r="A443" s="43"/>
      <c r="B443" s="43"/>
      <c r="C443" s="43"/>
      <c r="D443" s="43"/>
      <c r="E443" s="43"/>
    </row>
    <row r="444" spans="1:5" ht="11.25" customHeight="1">
      <c r="A444" s="43"/>
      <c r="B444" s="43"/>
      <c r="C444" s="43"/>
      <c r="D444" s="43"/>
      <c r="E444" s="43"/>
    </row>
    <row r="445" spans="1:5" ht="11.25" customHeight="1">
      <c r="A445" s="43"/>
      <c r="B445" s="43"/>
      <c r="C445" s="43"/>
      <c r="D445" s="43"/>
      <c r="E445" s="43"/>
    </row>
    <row r="446" spans="1:5" ht="11.25" customHeight="1">
      <c r="A446" s="43"/>
      <c r="B446" s="43"/>
      <c r="C446" s="43"/>
      <c r="D446" s="43"/>
      <c r="E446" s="43"/>
    </row>
    <row r="447" spans="1:5" ht="11.25" customHeight="1">
      <c r="A447" s="43"/>
      <c r="B447" s="43"/>
      <c r="C447" s="43"/>
      <c r="D447" s="43"/>
      <c r="E447" s="43"/>
    </row>
    <row r="448" spans="1:5" ht="11.25" customHeight="1">
      <c r="A448" s="43"/>
      <c r="B448" s="43"/>
      <c r="C448" s="43"/>
      <c r="D448" s="43"/>
      <c r="E448" s="43"/>
    </row>
    <row r="449" spans="1:5" ht="11.25" customHeight="1">
      <c r="A449" s="43"/>
      <c r="B449" s="43"/>
      <c r="C449" s="43"/>
      <c r="D449" s="43"/>
      <c r="E449" s="43"/>
    </row>
    <row r="450" spans="1:5" ht="11.25" customHeight="1">
      <c r="A450" s="43"/>
      <c r="B450" s="43"/>
      <c r="C450" s="43"/>
      <c r="D450" s="43"/>
      <c r="E450" s="43"/>
    </row>
    <row r="451" spans="1:5" ht="11.25" customHeight="1">
      <c r="A451" s="43"/>
      <c r="B451" s="43"/>
      <c r="C451" s="43"/>
      <c r="D451" s="43"/>
      <c r="E451" s="43"/>
    </row>
    <row r="452" spans="1:5" ht="11.25" customHeight="1">
      <c r="A452" s="43"/>
      <c r="B452" s="43"/>
      <c r="C452" s="43"/>
      <c r="D452" s="43"/>
      <c r="E452" s="43"/>
    </row>
    <row r="453" spans="1:5" ht="11.25" customHeight="1">
      <c r="A453" s="43"/>
      <c r="B453" s="43"/>
      <c r="C453" s="43"/>
      <c r="D453" s="43"/>
      <c r="E453" s="43"/>
    </row>
    <row r="454" spans="1:5" ht="11.25" customHeight="1">
      <c r="A454" s="43"/>
      <c r="B454" s="43"/>
      <c r="C454" s="43"/>
      <c r="D454" s="43"/>
      <c r="E454" s="43"/>
    </row>
    <row r="455" spans="1:5" ht="11.25" customHeight="1">
      <c r="A455" s="43"/>
      <c r="B455" s="43"/>
      <c r="C455" s="43"/>
      <c r="D455" s="43"/>
      <c r="E455" s="43"/>
    </row>
    <row r="456" spans="1:5" ht="11.25" customHeight="1">
      <c r="A456" s="43"/>
      <c r="B456" s="43"/>
      <c r="C456" s="43"/>
      <c r="D456" s="43"/>
      <c r="E456" s="43"/>
    </row>
    <row r="457" spans="1:5" ht="11.25" customHeight="1">
      <c r="A457" s="43"/>
      <c r="B457" s="43"/>
      <c r="C457" s="43"/>
      <c r="D457" s="43"/>
      <c r="E457" s="43"/>
    </row>
    <row r="458" spans="1:5" ht="11.25" customHeight="1">
      <c r="A458" s="43"/>
      <c r="B458" s="43"/>
      <c r="C458" s="43"/>
      <c r="D458" s="43"/>
      <c r="E458" s="43"/>
    </row>
    <row r="459" spans="1:5" ht="11.25" customHeight="1">
      <c r="A459" s="43"/>
      <c r="B459" s="43"/>
      <c r="C459" s="43"/>
      <c r="D459" s="43"/>
      <c r="E459" s="43"/>
    </row>
    <row r="460" spans="1:5" ht="11.25" customHeight="1">
      <c r="A460" s="43"/>
      <c r="B460" s="43"/>
      <c r="C460" s="43"/>
      <c r="D460" s="43"/>
      <c r="E460" s="43"/>
    </row>
    <row r="461" spans="1:5" ht="11.25" customHeight="1">
      <c r="A461" s="43"/>
      <c r="B461" s="43"/>
      <c r="C461" s="43"/>
      <c r="D461" s="43"/>
      <c r="E461" s="43"/>
    </row>
    <row r="462" spans="1:5" ht="11.25" customHeight="1">
      <c r="A462" s="43"/>
      <c r="B462" s="43"/>
      <c r="C462" s="43"/>
      <c r="D462" s="43"/>
      <c r="E462" s="43"/>
    </row>
    <row r="463" spans="1:5" ht="11.25" customHeight="1">
      <c r="A463" s="43"/>
      <c r="B463" s="43"/>
      <c r="C463" s="43"/>
      <c r="D463" s="43"/>
      <c r="E463" s="43"/>
    </row>
    <row r="464" spans="1:5" ht="11.25" customHeight="1">
      <c r="A464" s="43"/>
      <c r="B464" s="43"/>
      <c r="C464" s="43"/>
      <c r="D464" s="43"/>
      <c r="E464" s="43"/>
    </row>
    <row r="465" spans="1:5" ht="11.25" customHeight="1">
      <c r="A465" s="43"/>
      <c r="B465" s="43"/>
      <c r="C465" s="43"/>
      <c r="D465" s="43"/>
      <c r="E465" s="43"/>
    </row>
    <row r="466" spans="1:5" ht="11.25" customHeight="1">
      <c r="A466" s="43"/>
      <c r="B466" s="43"/>
      <c r="C466" s="43"/>
      <c r="D466" s="43"/>
      <c r="E466" s="43"/>
    </row>
    <row r="467" spans="1:5" ht="11.25" customHeight="1">
      <c r="A467" s="43"/>
      <c r="B467" s="43"/>
      <c r="C467" s="43"/>
      <c r="D467" s="43"/>
      <c r="E467" s="43"/>
    </row>
    <row r="468" spans="1:5" ht="11.25" customHeight="1">
      <c r="A468" s="43"/>
      <c r="B468" s="43"/>
      <c r="C468" s="43"/>
      <c r="D468" s="43"/>
      <c r="E468" s="43"/>
    </row>
    <row r="469" spans="1:5" ht="11.25" customHeight="1">
      <c r="A469" s="43"/>
      <c r="B469" s="43"/>
      <c r="C469" s="43"/>
      <c r="D469" s="43"/>
      <c r="E469" s="43"/>
    </row>
    <row r="470" spans="1:5" ht="11.25" customHeight="1">
      <c r="A470" s="43"/>
      <c r="B470" s="43"/>
      <c r="C470" s="43"/>
      <c r="D470" s="43"/>
      <c r="E470" s="43"/>
    </row>
  </sheetData>
  <sheetProtection sheet="1" objects="1" scenarios="1" formatRows="0" deleteRows="0"/>
  <customSheetViews>
    <customSheetView guid="{90D8D907-8142-40B5-8083-592E26272F1C}">
      <selection activeCell="F1" sqref="F1"/>
      <pageMargins left="0.74803149606299213" right="0.23622047244094491" top="0.51181102362204722" bottom="0.31496062992125984" header="0.31496062992125984" footer="0.31496062992125984"/>
      <pageSetup orientation="portrait" r:id="rId1"/>
    </customSheetView>
  </customSheetViews>
  <mergeCells count="110">
    <mergeCell ref="C108:D108"/>
    <mergeCell ref="A46:C46"/>
    <mergeCell ref="A108:B108"/>
    <mergeCell ref="A1:C1"/>
    <mergeCell ref="C101:D101"/>
    <mergeCell ref="C102:D102"/>
    <mergeCell ref="A102:B102"/>
    <mergeCell ref="A103:B103"/>
    <mergeCell ref="B85:C85"/>
    <mergeCell ref="B86:C86"/>
    <mergeCell ref="A81:E81"/>
    <mergeCell ref="D47:E47"/>
    <mergeCell ref="A50:E50"/>
    <mergeCell ref="A61:E61"/>
    <mergeCell ref="A51:E54"/>
    <mergeCell ref="A73:E73"/>
    <mergeCell ref="A74:B74"/>
    <mergeCell ref="A72:C72"/>
    <mergeCell ref="D1:E1"/>
    <mergeCell ref="A2:B2"/>
    <mergeCell ref="B7:C7"/>
    <mergeCell ref="B4:C4"/>
    <mergeCell ref="B3:C3"/>
    <mergeCell ref="A96:B96"/>
    <mergeCell ref="C89:D89"/>
    <mergeCell ref="C90:D90"/>
    <mergeCell ref="C91:D91"/>
    <mergeCell ref="C92:D92"/>
    <mergeCell ref="C93:D93"/>
    <mergeCell ref="C94:D94"/>
    <mergeCell ref="C95:D95"/>
    <mergeCell ref="C96:D96"/>
    <mergeCell ref="A47:C47"/>
    <mergeCell ref="C99:D99"/>
    <mergeCell ref="C100:D100"/>
    <mergeCell ref="A106:B106"/>
    <mergeCell ref="A97:B97"/>
    <mergeCell ref="A98:B98"/>
    <mergeCell ref="A99:B99"/>
    <mergeCell ref="A94:B94"/>
    <mergeCell ref="A104:B104"/>
    <mergeCell ref="A105:B105"/>
    <mergeCell ref="A95:B95"/>
    <mergeCell ref="A100:B100"/>
    <mergeCell ref="A101:B101"/>
    <mergeCell ref="A5:E5"/>
    <mergeCell ref="B15:C15"/>
    <mergeCell ref="A9:E11"/>
    <mergeCell ref="B31:C31"/>
    <mergeCell ref="B13:C13"/>
    <mergeCell ref="B14:C14"/>
    <mergeCell ref="B22:C22"/>
    <mergeCell ref="A30:E30"/>
    <mergeCell ref="A41:B41"/>
    <mergeCell ref="C8:D8"/>
    <mergeCell ref="B26:C26"/>
    <mergeCell ref="B17:E17"/>
    <mergeCell ref="B12:D12"/>
    <mergeCell ref="B19:D19"/>
    <mergeCell ref="B32:C32"/>
    <mergeCell ref="B21:C21"/>
    <mergeCell ref="B20:C20"/>
    <mergeCell ref="D121:E121"/>
    <mergeCell ref="A57:E58"/>
    <mergeCell ref="A113:E113"/>
    <mergeCell ref="A109:E109"/>
    <mergeCell ref="A110:B111"/>
    <mergeCell ref="C110:E111"/>
    <mergeCell ref="B83:E83"/>
    <mergeCell ref="A84:B84"/>
    <mergeCell ref="B87:E87"/>
    <mergeCell ref="A115:E117"/>
    <mergeCell ref="D120:E120"/>
    <mergeCell ref="A89:B89"/>
    <mergeCell ref="A90:B90"/>
    <mergeCell ref="A91:B91"/>
    <mergeCell ref="A93:B93"/>
    <mergeCell ref="A92:B92"/>
    <mergeCell ref="C103:D103"/>
    <mergeCell ref="C104:D104"/>
    <mergeCell ref="C105:D105"/>
    <mergeCell ref="C106:D106"/>
    <mergeCell ref="C107:D107"/>
    <mergeCell ref="A107:B107"/>
    <mergeCell ref="C98:D98"/>
    <mergeCell ref="C97:D97"/>
    <mergeCell ref="G10:Q13"/>
    <mergeCell ref="D55:E55"/>
    <mergeCell ref="A80:C80"/>
    <mergeCell ref="B82:E82"/>
    <mergeCell ref="A66:B66"/>
    <mergeCell ref="B37:C37"/>
    <mergeCell ref="A48:C48"/>
    <mergeCell ref="D43:E43"/>
    <mergeCell ref="D44:E44"/>
    <mergeCell ref="D45:E45"/>
    <mergeCell ref="D46:E46"/>
    <mergeCell ref="D48:E48"/>
    <mergeCell ref="A42:C42"/>
    <mergeCell ref="B33:C33"/>
    <mergeCell ref="B36:C36"/>
    <mergeCell ref="B39:E39"/>
    <mergeCell ref="D41:E41"/>
    <mergeCell ref="D42:E42"/>
    <mergeCell ref="A75:E78"/>
    <mergeCell ref="C74:E74"/>
    <mergeCell ref="A43:C43"/>
    <mergeCell ref="A44:C44"/>
    <mergeCell ref="A45:C45"/>
    <mergeCell ref="B38:C38"/>
  </mergeCells>
  <dataValidations count="1">
    <dataValidation type="textLength" allowBlank="1" showInputMessage="1" showErrorMessage="1" errorTitle="Please use Next Line." error="Max Limit has been reached for this row." sqref="A90 C90:C108">
      <formula1>0</formula1>
      <formula2>90</formula2>
    </dataValidation>
  </dataValidations>
  <printOptions horizontalCentered="1"/>
  <pageMargins left="0.62992125984252001" right="0.23622047244094499" top="0.31496062992126" bottom="0.27559055118110198" header="0.196850393700787" footer="0.23622047244094499"/>
  <pageSetup paperSize="9" fitToHeight="2" orientation="portrait" r:id="rId2"/>
  <headerFooter>
    <oddFooter>&amp;LVer 4.1&amp;RFor National Insurance Use Only</oddFooter>
  </headerFooter>
  <rowBreaks count="1" manualBreakCount="1">
    <brk id="58" max="4" man="1"/>
  </rowBreaks>
  <extLst>
    <ext xmlns:x14="http://schemas.microsoft.com/office/spreadsheetml/2009/9/main" uri="{78C0D931-6437-407d-A8EE-F0AAD7539E65}">
      <x14:conditionalFormattings>
        <x14:conditionalFormatting xmlns:xm="http://schemas.microsoft.com/office/excel/2006/main">
          <x14:cfRule type="expression" priority="2" id="{2DE065DF-88BE-4A50-903E-4BC279BB4D75}">
            <xm:f>AND('Data Entry'!$B$13="")</xm:f>
            <x14:dxf>
              <font>
                <b/>
                <i/>
                <color rgb="FFFFFF00"/>
              </font>
              <fill>
                <patternFill>
                  <bgColor rgb="FFFF0000"/>
                </patternFill>
              </fill>
            </x14:dxf>
          </x14:cfRule>
          <xm:sqref>E28</xm:sqref>
        </x14:conditionalFormatting>
        <x14:conditionalFormatting xmlns:xm="http://schemas.microsoft.com/office/excel/2006/main">
          <x14:cfRule type="expression" priority="1" id="{4F8DFC6D-2270-43DD-B7DC-5BB526FACB25}">
            <xm:f>AND('Data Entry'!B49="Yes")</xm:f>
            <x14:dxf>
              <font>
                <b/>
                <i/>
                <color rgb="FFFFFF00"/>
              </font>
              <fill>
                <patternFill>
                  <bgColor rgb="FFFF0000"/>
                </patternFill>
              </fill>
            </x14:dxf>
          </x14:cfRule>
          <xm:sqref>E25</xm:sqref>
        </x14:conditionalFormatting>
      </x14:conditionalFormattings>
    </ext>
  </extLst>
</worksheet>
</file>

<file path=xl/worksheets/sheet9.xml><?xml version="1.0" encoding="utf-8"?>
<worksheet xmlns="http://schemas.openxmlformats.org/spreadsheetml/2006/main" xmlns:r="http://schemas.openxmlformats.org/officeDocument/2006/relationships">
  <sheetPr codeName="Sheet5"/>
  <dimension ref="A1:U201"/>
  <sheetViews>
    <sheetView topLeftCell="A76" workbookViewId="0">
      <selection activeCell="B45" sqref="B45:C47"/>
    </sheetView>
  </sheetViews>
  <sheetFormatPr defaultRowHeight="12.75" customHeight="1"/>
  <cols>
    <col min="1" max="1" width="5.85546875" style="104" customWidth="1"/>
    <col min="2" max="2" width="27.28515625" style="104" customWidth="1"/>
    <col min="3" max="3" width="8.140625" style="100" customWidth="1"/>
    <col min="4" max="4" width="8.28515625" style="100" customWidth="1"/>
    <col min="5" max="5" width="10.140625" style="100" customWidth="1"/>
    <col min="6" max="6" width="10.85546875" style="100" customWidth="1"/>
    <col min="7" max="7" width="11.5703125" style="104" customWidth="1"/>
    <col min="8" max="9" width="10.85546875" style="104" customWidth="1"/>
    <col min="10" max="10" width="9.85546875" style="104" customWidth="1"/>
    <col min="11" max="16384" width="9.140625" style="104"/>
  </cols>
  <sheetData>
    <row r="1" spans="1:21" ht="12.75" customHeight="1">
      <c r="A1" s="1483" t="s">
        <v>221</v>
      </c>
      <c r="B1" s="1483"/>
      <c r="C1" s="1483"/>
      <c r="D1" s="1483"/>
      <c r="E1" s="1483"/>
      <c r="F1" s="1483"/>
      <c r="G1" s="1483"/>
      <c r="H1" s="1483"/>
      <c r="I1" s="1483"/>
      <c r="J1" s="1483"/>
    </row>
    <row r="2" spans="1:21" ht="12.75" customHeight="1">
      <c r="A2" s="1483"/>
      <c r="B2" s="1483"/>
      <c r="C2" s="1483"/>
      <c r="D2" s="1483"/>
      <c r="E2" s="1483"/>
      <c r="F2" s="1483"/>
      <c r="G2" s="1483"/>
      <c r="H2" s="1483"/>
      <c r="I2" s="1483"/>
      <c r="J2" s="1483"/>
    </row>
    <row r="3" spans="1:21" ht="12.75" customHeight="1">
      <c r="A3" s="1490" t="s">
        <v>129</v>
      </c>
      <c r="B3" s="1491"/>
      <c r="C3" s="1498" t="str">
        <f>'Data Entry'!$B$60</f>
        <v>Dilip Kumar Sinha</v>
      </c>
      <c r="D3" s="1498"/>
      <c r="E3" s="1498"/>
      <c r="F3" s="1494" t="s">
        <v>131</v>
      </c>
      <c r="G3" s="1495"/>
      <c r="H3" s="1484" t="str">
        <f>IF('Data Entry'!$B$38&lt;&gt;"",'Data Entry'!$B$38,"")</f>
        <v/>
      </c>
      <c r="I3" s="1485"/>
      <c r="J3" s="1486"/>
    </row>
    <row r="4" spans="1:21" ht="12.75" customHeight="1">
      <c r="A4" s="1492" t="s">
        <v>130</v>
      </c>
      <c r="B4" s="1493"/>
      <c r="C4" s="1499">
        <f>'Data Entry'!$B$4</f>
        <v>0</v>
      </c>
      <c r="D4" s="1499"/>
      <c r="E4" s="1499"/>
      <c r="F4" s="1496" t="str">
        <f>'Data Entry'!$A$3</f>
        <v xml:space="preserve"> CLAIM NUMBER</v>
      </c>
      <c r="G4" s="1497"/>
      <c r="H4" s="1487">
        <f>'Data Entry'!$B$3</f>
        <v>0</v>
      </c>
      <c r="I4" s="1488"/>
      <c r="J4" s="1489"/>
    </row>
    <row r="5" spans="1:21" ht="12.75" customHeight="1">
      <c r="A5" s="1500" t="s">
        <v>128</v>
      </c>
      <c r="B5" s="1501"/>
      <c r="C5" s="1499" t="str">
        <f>'Data Entry'!$B$5</f>
        <v xml:space="preserve">Mr. </v>
      </c>
      <c r="D5" s="1499"/>
      <c r="E5" s="1499"/>
      <c r="F5" s="1496" t="s">
        <v>261</v>
      </c>
      <c r="G5" s="1497"/>
      <c r="H5" s="1487">
        <f>'Data Entry'!$B$18</f>
        <v>0</v>
      </c>
      <c r="I5" s="1488"/>
      <c r="J5" s="1489"/>
    </row>
    <row r="6" spans="1:21" ht="12.75" customHeight="1">
      <c r="A6" s="1480" t="s">
        <v>145</v>
      </c>
      <c r="B6" s="1481"/>
      <c r="C6" s="1474" t="str">
        <f>'Data Entry'!$H$1</f>
        <v>DKS/ Aasth Honda/March/2024-2025</v>
      </c>
      <c r="D6" s="1475"/>
      <c r="E6" s="1475"/>
      <c r="F6" s="1475"/>
      <c r="G6" s="1476"/>
      <c r="H6" s="105"/>
      <c r="I6" s="105"/>
    </row>
    <row r="7" spans="1:21" ht="12.75" customHeight="1">
      <c r="A7" s="1478" t="s">
        <v>146</v>
      </c>
      <c r="B7" s="1478"/>
      <c r="C7" s="1479" t="str">
        <f>IF('Data Entry'!$H$3&lt;&gt;"",'Data Entry'!$H$3,"")</f>
        <v/>
      </c>
      <c r="D7" s="1479"/>
      <c r="E7" s="1479"/>
      <c r="F7" s="1479"/>
      <c r="G7" s="1479"/>
      <c r="H7" s="105"/>
      <c r="I7" s="105"/>
    </row>
    <row r="8" spans="1:21" ht="16.5" customHeight="1">
      <c r="A8" s="740" t="s">
        <v>220</v>
      </c>
      <c r="B8" s="741"/>
      <c r="C8" s="741"/>
      <c r="D8" s="741"/>
      <c r="E8" s="741"/>
      <c r="F8" s="741"/>
      <c r="G8" s="741"/>
      <c r="H8" s="741"/>
      <c r="I8" s="741"/>
      <c r="J8" s="742" t="str">
        <f>IF('Data Entry'!I17="No","Normal Policy","Zero Dep.Policy")</f>
        <v>Zero Dep.Policy</v>
      </c>
    </row>
    <row r="9" spans="1:21" ht="12.75" customHeight="1">
      <c r="A9" s="1502" t="s">
        <v>59</v>
      </c>
      <c r="B9" s="1503"/>
    </row>
    <row r="10" spans="1:21" ht="36.75" customHeight="1">
      <c r="A10" s="812" t="s">
        <v>53</v>
      </c>
      <c r="B10" s="1167" t="s">
        <v>278</v>
      </c>
      <c r="C10" s="1167"/>
      <c r="D10" s="744" t="s">
        <v>55</v>
      </c>
      <c r="E10" s="811" t="s">
        <v>640</v>
      </c>
      <c r="F10" s="811" t="s">
        <v>239</v>
      </c>
      <c r="G10" s="811" t="s">
        <v>236</v>
      </c>
      <c r="H10" s="811" t="s">
        <v>254</v>
      </c>
      <c r="I10" s="811" t="s">
        <v>255</v>
      </c>
      <c r="J10" s="811" t="s">
        <v>668</v>
      </c>
    </row>
    <row r="11" spans="1:21" ht="12.75" customHeight="1">
      <c r="A11" s="106">
        <v>1</v>
      </c>
      <c r="B11" s="1477"/>
      <c r="C11" s="1477"/>
      <c r="D11" s="746" t="s">
        <v>821</v>
      </c>
      <c r="E11" s="747">
        <v>0.18</v>
      </c>
      <c r="F11" s="748"/>
      <c r="G11" s="748"/>
      <c r="H11" s="748"/>
      <c r="I11" s="177">
        <f>MIN(IF(F11&lt;&gt;"",F11,0),IF(G11&lt;&gt;"",G11,0),IF(H11&lt;&gt;"",H11,0))</f>
        <v>0</v>
      </c>
      <c r="J11" s="177">
        <f>MIN(IF(F11&lt;&gt;"",F11,0),IF(G11&lt;&gt;"",G11,0),IF(H11&lt;&gt;"",H11,0))*E11</f>
        <v>0</v>
      </c>
    </row>
    <row r="12" spans="1:21" ht="12.75" customHeight="1">
      <c r="A12" s="106">
        <v>2</v>
      </c>
      <c r="B12" s="1477"/>
      <c r="C12" s="1477"/>
      <c r="D12" s="746" t="s">
        <v>821</v>
      </c>
      <c r="E12" s="747">
        <v>0.18</v>
      </c>
      <c r="F12" s="748"/>
      <c r="G12" s="748"/>
      <c r="H12" s="748"/>
      <c r="I12" s="177">
        <f t="shared" ref="I12:I40" si="0">MIN(IF(F12&lt;&gt;"",F12,0),IF(G12&lt;&gt;"",G12,0),IF(H12&lt;&gt;"",H12,0))</f>
        <v>0</v>
      </c>
      <c r="J12" s="177">
        <f t="shared" ref="J12:J40" si="1">MIN(IF(F12&lt;&gt;"",F12,0),IF(G12&lt;&gt;"",G12,0),IF(H12&lt;&gt;"",H12,0))*E12</f>
        <v>0</v>
      </c>
      <c r="L12" s="208" t="s">
        <v>528</v>
      </c>
      <c r="M12" s="168"/>
      <c r="N12" s="168"/>
      <c r="O12" s="168"/>
      <c r="P12" s="168"/>
      <c r="Q12" s="168"/>
      <c r="R12" s="168"/>
      <c r="S12" s="168"/>
      <c r="T12" s="168"/>
      <c r="U12" s="168"/>
    </row>
    <row r="13" spans="1:21" ht="12.75" customHeight="1">
      <c r="A13" s="106">
        <v>3</v>
      </c>
      <c r="B13" s="1477"/>
      <c r="C13" s="1477"/>
      <c r="D13" s="746" t="s">
        <v>827</v>
      </c>
      <c r="E13" s="747">
        <v>0.18</v>
      </c>
      <c r="F13" s="748"/>
      <c r="G13" s="748"/>
      <c r="H13" s="748"/>
      <c r="I13" s="177">
        <f t="shared" si="0"/>
        <v>0</v>
      </c>
      <c r="J13" s="177">
        <f t="shared" si="1"/>
        <v>0</v>
      </c>
      <c r="K13" s="168"/>
      <c r="L13" s="168"/>
      <c r="M13" s="168"/>
      <c r="N13" s="168"/>
      <c r="O13" s="168"/>
      <c r="P13" s="168"/>
      <c r="Q13" s="168"/>
      <c r="R13" s="168"/>
      <c r="S13" s="168"/>
      <c r="T13" s="168"/>
      <c r="U13" s="168"/>
    </row>
    <row r="14" spans="1:21">
      <c r="A14" s="106">
        <v>4</v>
      </c>
      <c r="B14" s="1477"/>
      <c r="C14" s="1477"/>
      <c r="D14" s="746"/>
      <c r="E14" s="747"/>
      <c r="F14" s="748"/>
      <c r="G14" s="748"/>
      <c r="H14" s="748"/>
      <c r="I14" s="177">
        <f t="shared" si="0"/>
        <v>0</v>
      </c>
      <c r="J14" s="177">
        <f t="shared" si="1"/>
        <v>0</v>
      </c>
      <c r="K14" s="168"/>
      <c r="L14" s="168"/>
      <c r="M14" s="168"/>
      <c r="N14" s="168"/>
      <c r="O14" s="168"/>
      <c r="P14" s="168"/>
      <c r="Q14" s="168"/>
      <c r="R14" s="168"/>
      <c r="S14" s="168"/>
      <c r="T14" s="168"/>
      <c r="U14" s="168"/>
    </row>
    <row r="15" spans="1:21">
      <c r="A15" s="106">
        <v>5</v>
      </c>
      <c r="B15" s="1477"/>
      <c r="C15" s="1477"/>
      <c r="D15" s="746"/>
      <c r="E15" s="747"/>
      <c r="F15" s="748"/>
      <c r="G15" s="748"/>
      <c r="H15" s="748"/>
      <c r="I15" s="177">
        <f t="shared" si="0"/>
        <v>0</v>
      </c>
      <c r="J15" s="177">
        <f t="shared" si="1"/>
        <v>0</v>
      </c>
      <c r="K15" s="168"/>
      <c r="L15" s="168"/>
      <c r="M15" s="168"/>
      <c r="N15" s="168"/>
      <c r="O15" s="168"/>
      <c r="P15" s="168"/>
      <c r="Q15" s="168"/>
      <c r="R15" s="168"/>
      <c r="S15" s="168"/>
      <c r="T15" s="168"/>
      <c r="U15" s="168"/>
    </row>
    <row r="16" spans="1:21">
      <c r="A16" s="106">
        <v>6</v>
      </c>
      <c r="B16" s="1477"/>
      <c r="C16" s="1477"/>
      <c r="D16" s="746"/>
      <c r="E16" s="747"/>
      <c r="F16" s="748"/>
      <c r="G16" s="748"/>
      <c r="H16" s="748"/>
      <c r="I16" s="177">
        <f t="shared" si="0"/>
        <v>0</v>
      </c>
      <c r="J16" s="177">
        <f t="shared" si="1"/>
        <v>0</v>
      </c>
      <c r="K16" s="168"/>
      <c r="L16" s="168"/>
      <c r="M16" s="168"/>
      <c r="N16" s="168"/>
      <c r="O16" s="168"/>
      <c r="P16" s="168"/>
      <c r="Q16" s="168"/>
      <c r="R16" s="168"/>
      <c r="S16" s="168"/>
      <c r="T16" s="168"/>
      <c r="U16" s="168"/>
    </row>
    <row r="17" spans="1:21">
      <c r="A17" s="106">
        <v>7</v>
      </c>
      <c r="B17" s="1477"/>
      <c r="C17" s="1477"/>
      <c r="D17" s="746"/>
      <c r="E17" s="747"/>
      <c r="F17" s="748"/>
      <c r="G17" s="748"/>
      <c r="H17" s="748"/>
      <c r="I17" s="177">
        <f t="shared" si="0"/>
        <v>0</v>
      </c>
      <c r="J17" s="177">
        <f t="shared" si="1"/>
        <v>0</v>
      </c>
      <c r="K17" s="168"/>
      <c r="L17" s="168"/>
      <c r="M17" s="168"/>
      <c r="N17" s="168"/>
      <c r="O17" s="168"/>
      <c r="P17" s="168"/>
      <c r="Q17" s="168"/>
      <c r="R17" s="168"/>
      <c r="S17" s="168"/>
      <c r="T17" s="168"/>
      <c r="U17" s="168"/>
    </row>
    <row r="18" spans="1:21">
      <c r="A18" s="106">
        <v>8</v>
      </c>
      <c r="B18" s="1477"/>
      <c r="C18" s="1477"/>
      <c r="D18" s="746"/>
      <c r="E18" s="747"/>
      <c r="F18" s="748"/>
      <c r="G18" s="748"/>
      <c r="H18" s="748"/>
      <c r="I18" s="177">
        <f t="shared" si="0"/>
        <v>0</v>
      </c>
      <c r="J18" s="177">
        <f t="shared" si="1"/>
        <v>0</v>
      </c>
      <c r="K18" s="168"/>
      <c r="L18" s="168"/>
      <c r="M18" s="168"/>
      <c r="N18" s="168"/>
      <c r="O18" s="168"/>
      <c r="P18" s="168"/>
      <c r="Q18" s="168"/>
      <c r="R18" s="168"/>
      <c r="S18" s="168"/>
      <c r="T18" s="168"/>
      <c r="U18" s="168"/>
    </row>
    <row r="19" spans="1:21">
      <c r="A19" s="106">
        <v>9</v>
      </c>
      <c r="B19" s="1477"/>
      <c r="C19" s="1477"/>
      <c r="D19" s="746"/>
      <c r="E19" s="747"/>
      <c r="F19" s="748"/>
      <c r="G19" s="748"/>
      <c r="H19" s="748"/>
      <c r="I19" s="177">
        <f t="shared" si="0"/>
        <v>0</v>
      </c>
      <c r="J19" s="177">
        <f t="shared" si="1"/>
        <v>0</v>
      </c>
      <c r="K19" s="168"/>
      <c r="L19" s="168"/>
      <c r="M19" s="168"/>
      <c r="N19" s="168"/>
      <c r="O19" s="168"/>
      <c r="P19" s="168"/>
      <c r="Q19" s="168"/>
      <c r="R19" s="168"/>
      <c r="S19" s="168"/>
      <c r="T19" s="168"/>
      <c r="U19" s="168"/>
    </row>
    <row r="20" spans="1:21">
      <c r="A20" s="106">
        <v>10</v>
      </c>
      <c r="B20" s="1477"/>
      <c r="C20" s="1477"/>
      <c r="D20" s="746"/>
      <c r="E20" s="747"/>
      <c r="F20" s="748"/>
      <c r="G20" s="748"/>
      <c r="H20" s="748"/>
      <c r="I20" s="177">
        <f t="shared" si="0"/>
        <v>0</v>
      </c>
      <c r="J20" s="177">
        <f t="shared" si="1"/>
        <v>0</v>
      </c>
      <c r="K20" s="168"/>
      <c r="L20" s="168"/>
      <c r="M20" s="168"/>
      <c r="N20" s="168"/>
      <c r="O20" s="168"/>
      <c r="P20" s="168"/>
      <c r="Q20" s="168"/>
      <c r="R20" s="168"/>
      <c r="S20" s="168"/>
      <c r="T20" s="168"/>
      <c r="U20" s="168"/>
    </row>
    <row r="21" spans="1:21">
      <c r="A21" s="106">
        <v>11</v>
      </c>
      <c r="B21" s="1477"/>
      <c r="C21" s="1477"/>
      <c r="D21" s="746"/>
      <c r="E21" s="747"/>
      <c r="F21" s="748"/>
      <c r="G21" s="748"/>
      <c r="H21" s="748"/>
      <c r="I21" s="177">
        <f t="shared" si="0"/>
        <v>0</v>
      </c>
      <c r="J21" s="177">
        <f t="shared" si="1"/>
        <v>0</v>
      </c>
      <c r="K21" s="168"/>
      <c r="L21" s="168"/>
      <c r="M21" s="168"/>
      <c r="N21" s="168"/>
      <c r="O21" s="168"/>
      <c r="P21" s="168"/>
      <c r="Q21" s="168"/>
      <c r="R21" s="168"/>
      <c r="S21" s="168"/>
      <c r="T21" s="168"/>
      <c r="U21" s="168"/>
    </row>
    <row r="22" spans="1:21">
      <c r="A22" s="106">
        <v>12</v>
      </c>
      <c r="B22" s="1477"/>
      <c r="C22" s="1477"/>
      <c r="D22" s="746"/>
      <c r="E22" s="747"/>
      <c r="F22" s="748"/>
      <c r="G22" s="748"/>
      <c r="H22" s="748"/>
      <c r="I22" s="177">
        <f t="shared" si="0"/>
        <v>0</v>
      </c>
      <c r="J22" s="177">
        <f t="shared" si="1"/>
        <v>0</v>
      </c>
      <c r="K22" s="168"/>
      <c r="L22" s="168"/>
      <c r="M22" s="168"/>
      <c r="N22" s="168"/>
      <c r="O22" s="168"/>
      <c r="P22" s="168"/>
      <c r="Q22" s="168"/>
      <c r="R22" s="168"/>
      <c r="S22" s="168"/>
      <c r="T22" s="168"/>
      <c r="U22" s="168"/>
    </row>
    <row r="23" spans="1:21">
      <c r="A23" s="106">
        <v>13</v>
      </c>
      <c r="B23" s="1477"/>
      <c r="C23" s="1477"/>
      <c r="D23" s="746"/>
      <c r="E23" s="747"/>
      <c r="F23" s="748"/>
      <c r="G23" s="748"/>
      <c r="H23" s="748"/>
      <c r="I23" s="177">
        <f t="shared" si="0"/>
        <v>0</v>
      </c>
      <c r="J23" s="177">
        <f t="shared" si="1"/>
        <v>0</v>
      </c>
      <c r="K23" s="168"/>
      <c r="L23" s="168"/>
      <c r="M23" s="168"/>
      <c r="N23" s="168"/>
      <c r="O23" s="168"/>
      <c r="P23" s="168"/>
      <c r="Q23" s="168"/>
      <c r="R23" s="168"/>
      <c r="S23" s="168"/>
      <c r="T23" s="168"/>
      <c r="U23" s="168"/>
    </row>
    <row r="24" spans="1:21">
      <c r="A24" s="106">
        <v>14</v>
      </c>
      <c r="B24" s="1477"/>
      <c r="C24" s="1477"/>
      <c r="D24" s="746"/>
      <c r="E24" s="747"/>
      <c r="F24" s="748"/>
      <c r="G24" s="748"/>
      <c r="H24" s="748"/>
      <c r="I24" s="177">
        <f t="shared" si="0"/>
        <v>0</v>
      </c>
      <c r="J24" s="177">
        <f t="shared" si="1"/>
        <v>0</v>
      </c>
      <c r="K24" s="168"/>
      <c r="L24" s="168"/>
      <c r="M24" s="168"/>
      <c r="N24" s="168"/>
      <c r="O24" s="168"/>
      <c r="P24" s="168"/>
      <c r="Q24" s="168"/>
      <c r="R24" s="168"/>
      <c r="S24" s="168"/>
      <c r="T24" s="168"/>
      <c r="U24" s="168"/>
    </row>
    <row r="25" spans="1:21">
      <c r="A25" s="106">
        <v>15</v>
      </c>
      <c r="B25" s="1477"/>
      <c r="C25" s="1477"/>
      <c r="D25" s="746"/>
      <c r="E25" s="747"/>
      <c r="F25" s="748"/>
      <c r="G25" s="748"/>
      <c r="H25" s="748"/>
      <c r="I25" s="177">
        <f t="shared" si="0"/>
        <v>0</v>
      </c>
      <c r="J25" s="177">
        <f t="shared" si="1"/>
        <v>0</v>
      </c>
      <c r="K25" s="168"/>
      <c r="L25" s="168"/>
      <c r="M25" s="168"/>
      <c r="N25" s="168"/>
      <c r="O25" s="168"/>
      <c r="P25" s="168"/>
      <c r="Q25" s="168"/>
      <c r="R25" s="168"/>
      <c r="S25" s="168"/>
      <c r="T25" s="168"/>
      <c r="U25" s="168"/>
    </row>
    <row r="26" spans="1:21">
      <c r="A26" s="106">
        <v>16</v>
      </c>
      <c r="B26" s="1477"/>
      <c r="C26" s="1477"/>
      <c r="D26" s="746"/>
      <c r="E26" s="747"/>
      <c r="F26" s="748"/>
      <c r="G26" s="748"/>
      <c r="H26" s="748"/>
      <c r="I26" s="177">
        <f t="shared" si="0"/>
        <v>0</v>
      </c>
      <c r="J26" s="177">
        <f t="shared" si="1"/>
        <v>0</v>
      </c>
      <c r="K26" s="168"/>
      <c r="L26" s="168"/>
      <c r="M26" s="168"/>
      <c r="N26" s="168"/>
      <c r="O26" s="168"/>
      <c r="P26" s="168"/>
      <c r="Q26" s="168"/>
      <c r="R26" s="168"/>
      <c r="S26" s="168"/>
      <c r="T26" s="168"/>
      <c r="U26" s="168"/>
    </row>
    <row r="27" spans="1:21">
      <c r="A27" s="106">
        <v>17</v>
      </c>
      <c r="B27" s="1477"/>
      <c r="C27" s="1477"/>
      <c r="D27" s="746"/>
      <c r="E27" s="747"/>
      <c r="F27" s="748"/>
      <c r="G27" s="748"/>
      <c r="H27" s="748"/>
      <c r="I27" s="177">
        <f t="shared" si="0"/>
        <v>0</v>
      </c>
      <c r="J27" s="177">
        <f t="shared" si="1"/>
        <v>0</v>
      </c>
      <c r="K27" s="168"/>
      <c r="L27" s="168"/>
      <c r="M27" s="168"/>
      <c r="N27" s="168"/>
      <c r="O27" s="168"/>
      <c r="P27" s="168"/>
      <c r="Q27" s="168"/>
      <c r="R27" s="168"/>
      <c r="S27" s="168"/>
      <c r="T27" s="168"/>
      <c r="U27" s="168"/>
    </row>
    <row r="28" spans="1:21">
      <c r="A28" s="106">
        <v>18</v>
      </c>
      <c r="B28" s="1477"/>
      <c r="C28" s="1477"/>
      <c r="D28" s="746"/>
      <c r="E28" s="747"/>
      <c r="F28" s="748"/>
      <c r="G28" s="748"/>
      <c r="H28" s="748"/>
      <c r="I28" s="177">
        <f t="shared" si="0"/>
        <v>0</v>
      </c>
      <c r="J28" s="177">
        <f t="shared" si="1"/>
        <v>0</v>
      </c>
      <c r="K28" s="168"/>
      <c r="L28" s="168"/>
      <c r="M28" s="168"/>
      <c r="N28" s="168"/>
      <c r="O28" s="168"/>
      <c r="P28" s="168"/>
      <c r="Q28" s="168"/>
      <c r="R28" s="168"/>
      <c r="S28" s="168"/>
      <c r="T28" s="168"/>
      <c r="U28" s="168"/>
    </row>
    <row r="29" spans="1:21">
      <c r="A29" s="106">
        <v>19</v>
      </c>
      <c r="B29" s="1477"/>
      <c r="C29" s="1477"/>
      <c r="D29" s="746"/>
      <c r="E29" s="747"/>
      <c r="F29" s="748"/>
      <c r="G29" s="748"/>
      <c r="H29" s="748"/>
      <c r="I29" s="177">
        <f t="shared" si="0"/>
        <v>0</v>
      </c>
      <c r="J29" s="177">
        <f t="shared" si="1"/>
        <v>0</v>
      </c>
      <c r="K29" s="168"/>
      <c r="L29" s="168"/>
      <c r="M29" s="168"/>
      <c r="N29" s="168"/>
      <c r="O29" s="168"/>
      <c r="P29" s="168"/>
      <c r="Q29" s="168"/>
      <c r="R29" s="168"/>
      <c r="S29" s="168"/>
      <c r="T29" s="168"/>
      <c r="U29" s="168"/>
    </row>
    <row r="30" spans="1:21">
      <c r="A30" s="106">
        <v>20</v>
      </c>
      <c r="B30" s="1477"/>
      <c r="C30" s="1477"/>
      <c r="D30" s="746"/>
      <c r="E30" s="747"/>
      <c r="F30" s="748"/>
      <c r="G30" s="748"/>
      <c r="H30" s="748"/>
      <c r="I30" s="177">
        <f t="shared" si="0"/>
        <v>0</v>
      </c>
      <c r="J30" s="177">
        <f t="shared" si="1"/>
        <v>0</v>
      </c>
      <c r="K30" s="168"/>
      <c r="L30" s="168"/>
      <c r="M30" s="168"/>
      <c r="N30" s="168"/>
      <c r="O30" s="168"/>
      <c r="P30" s="168"/>
      <c r="Q30" s="168"/>
      <c r="R30" s="168"/>
      <c r="S30" s="168"/>
      <c r="T30" s="168"/>
      <c r="U30" s="168"/>
    </row>
    <row r="31" spans="1:21">
      <c r="A31" s="106">
        <v>21</v>
      </c>
      <c r="B31" s="1477"/>
      <c r="C31" s="1477"/>
      <c r="D31" s="746"/>
      <c r="E31" s="747"/>
      <c r="F31" s="748"/>
      <c r="G31" s="748"/>
      <c r="H31" s="748"/>
      <c r="I31" s="177">
        <f t="shared" si="0"/>
        <v>0</v>
      </c>
      <c r="J31" s="177">
        <f t="shared" si="1"/>
        <v>0</v>
      </c>
    </row>
    <row r="32" spans="1:21">
      <c r="A32" s="106">
        <v>22</v>
      </c>
      <c r="B32" s="1477"/>
      <c r="C32" s="1477"/>
      <c r="D32" s="746"/>
      <c r="E32" s="747"/>
      <c r="F32" s="748"/>
      <c r="G32" s="748"/>
      <c r="H32" s="748"/>
      <c r="I32" s="177">
        <f t="shared" si="0"/>
        <v>0</v>
      </c>
      <c r="J32" s="177">
        <f t="shared" si="1"/>
        <v>0</v>
      </c>
    </row>
    <row r="33" spans="1:13">
      <c r="A33" s="106">
        <v>23</v>
      </c>
      <c r="B33" s="1477"/>
      <c r="C33" s="1477"/>
      <c r="D33" s="746"/>
      <c r="E33" s="747"/>
      <c r="F33" s="748"/>
      <c r="G33" s="748"/>
      <c r="H33" s="748"/>
      <c r="I33" s="177">
        <f t="shared" si="0"/>
        <v>0</v>
      </c>
      <c r="J33" s="177">
        <f t="shared" si="1"/>
        <v>0</v>
      </c>
    </row>
    <row r="34" spans="1:13">
      <c r="A34" s="106">
        <v>24</v>
      </c>
      <c r="B34" s="1477"/>
      <c r="C34" s="1477"/>
      <c r="D34" s="746"/>
      <c r="E34" s="747"/>
      <c r="F34" s="748"/>
      <c r="G34" s="748"/>
      <c r="H34" s="748"/>
      <c r="I34" s="177">
        <f t="shared" si="0"/>
        <v>0</v>
      </c>
      <c r="J34" s="177">
        <f t="shared" si="1"/>
        <v>0</v>
      </c>
    </row>
    <row r="35" spans="1:13">
      <c r="A35" s="106">
        <v>25</v>
      </c>
      <c r="B35" s="1477"/>
      <c r="C35" s="1477"/>
      <c r="D35" s="746"/>
      <c r="E35" s="747"/>
      <c r="F35" s="748"/>
      <c r="G35" s="748"/>
      <c r="H35" s="748"/>
      <c r="I35" s="177">
        <f t="shared" si="0"/>
        <v>0</v>
      </c>
      <c r="J35" s="177">
        <f t="shared" si="1"/>
        <v>0</v>
      </c>
    </row>
    <row r="36" spans="1:13">
      <c r="A36" s="106">
        <v>26</v>
      </c>
      <c r="B36" s="1477"/>
      <c r="C36" s="1477"/>
      <c r="D36" s="746"/>
      <c r="E36" s="747"/>
      <c r="F36" s="748"/>
      <c r="G36" s="748"/>
      <c r="H36" s="748"/>
      <c r="I36" s="177">
        <f t="shared" si="0"/>
        <v>0</v>
      </c>
      <c r="J36" s="177">
        <f t="shared" si="1"/>
        <v>0</v>
      </c>
    </row>
    <row r="37" spans="1:13">
      <c r="A37" s="106">
        <v>27</v>
      </c>
      <c r="B37" s="1477"/>
      <c r="C37" s="1477"/>
      <c r="D37" s="746"/>
      <c r="E37" s="747"/>
      <c r="F37" s="748"/>
      <c r="G37" s="748"/>
      <c r="H37" s="748"/>
      <c r="I37" s="177">
        <f t="shared" si="0"/>
        <v>0</v>
      </c>
      <c r="J37" s="177">
        <f t="shared" si="1"/>
        <v>0</v>
      </c>
    </row>
    <row r="38" spans="1:13">
      <c r="A38" s="106">
        <v>28</v>
      </c>
      <c r="B38" s="1477"/>
      <c r="C38" s="1477"/>
      <c r="D38" s="746"/>
      <c r="E38" s="747"/>
      <c r="F38" s="748"/>
      <c r="G38" s="748"/>
      <c r="H38" s="748"/>
      <c r="I38" s="177">
        <f t="shared" si="0"/>
        <v>0</v>
      </c>
      <c r="J38" s="177">
        <f t="shared" si="1"/>
        <v>0</v>
      </c>
    </row>
    <row r="39" spans="1:13">
      <c r="A39" s="106">
        <v>29</v>
      </c>
      <c r="B39" s="1477"/>
      <c r="C39" s="1477"/>
      <c r="D39" s="746"/>
      <c r="E39" s="747"/>
      <c r="F39" s="748"/>
      <c r="G39" s="748"/>
      <c r="H39" s="748"/>
      <c r="I39" s="177">
        <f t="shared" si="0"/>
        <v>0</v>
      </c>
      <c r="J39" s="177">
        <f t="shared" si="1"/>
        <v>0</v>
      </c>
    </row>
    <row r="40" spans="1:13">
      <c r="A40" s="106">
        <v>30</v>
      </c>
      <c r="B40" s="1477"/>
      <c r="C40" s="1477"/>
      <c r="D40" s="746"/>
      <c r="E40" s="747"/>
      <c r="F40" s="748"/>
      <c r="G40" s="748"/>
      <c r="H40" s="748"/>
      <c r="I40" s="177">
        <f t="shared" si="0"/>
        <v>0</v>
      </c>
      <c r="J40" s="177">
        <f t="shared" si="1"/>
        <v>0</v>
      </c>
    </row>
    <row r="41" spans="1:13" ht="12.75" customHeight="1">
      <c r="A41" s="1482" t="s">
        <v>56</v>
      </c>
      <c r="B41" s="1482"/>
      <c r="C41" s="1482"/>
      <c r="D41" s="1482"/>
      <c r="E41" s="1482"/>
      <c r="F41" s="178">
        <f>SUM(F11:F40)</f>
        <v>0</v>
      </c>
      <c r="G41" s="178">
        <f>SUM(G11:G40)</f>
        <v>0</v>
      </c>
      <c r="H41" s="178">
        <f>SUM(H11:H40)</f>
        <v>0</v>
      </c>
      <c r="I41" s="179">
        <f>SUM(I11:I40)</f>
        <v>0</v>
      </c>
      <c r="J41" s="180">
        <f>SUM(J11:J40)</f>
        <v>0</v>
      </c>
    </row>
    <row r="42" spans="1:13" ht="12.75" customHeight="1">
      <c r="A42" s="107"/>
      <c r="B42" s="107"/>
      <c r="C42" s="90"/>
      <c r="D42" s="90"/>
      <c r="E42" s="90"/>
      <c r="F42" s="147"/>
      <c r="G42" s="107"/>
      <c r="H42" s="122"/>
      <c r="I42" s="149"/>
    </row>
    <row r="43" spans="1:13" ht="12.75" customHeight="1">
      <c r="A43" s="1508" t="s">
        <v>57</v>
      </c>
      <c r="B43" s="1509"/>
      <c r="C43" s="1509"/>
      <c r="D43" s="1509"/>
      <c r="F43" s="148"/>
      <c r="H43" s="149"/>
      <c r="I43" s="149"/>
    </row>
    <row r="44" spans="1:13" ht="42.75" customHeight="1">
      <c r="A44" s="743" t="s">
        <v>53</v>
      </c>
      <c r="B44" s="1507" t="s">
        <v>54</v>
      </c>
      <c r="C44" s="1507"/>
      <c r="D44" s="744" t="s">
        <v>55</v>
      </c>
      <c r="E44" s="745" t="s">
        <v>640</v>
      </c>
      <c r="F44" s="755" t="s">
        <v>240</v>
      </c>
      <c r="G44" s="755" t="s">
        <v>238</v>
      </c>
      <c r="H44" s="745" t="s">
        <v>254</v>
      </c>
      <c r="I44" s="745" t="s">
        <v>255</v>
      </c>
      <c r="J44" s="745" t="s">
        <v>668</v>
      </c>
    </row>
    <row r="45" spans="1:13" ht="12.75" customHeight="1">
      <c r="A45" s="106">
        <v>1</v>
      </c>
      <c r="B45" s="1505"/>
      <c r="C45" s="1506"/>
      <c r="D45" s="756" t="s">
        <v>58</v>
      </c>
      <c r="E45" s="747">
        <f>'Data Entry'!$B$77</f>
        <v>0.18</v>
      </c>
      <c r="F45" s="749"/>
      <c r="G45" s="749"/>
      <c r="H45" s="750"/>
      <c r="I45" s="169">
        <f>MIN(IF(F45&lt;&gt;"",F45,0),IF(G45&lt;&gt;"",G45,0),IF(H45&lt;&gt;"",H45,0))</f>
        <v>0</v>
      </c>
      <c r="J45" s="169">
        <f t="shared" ref="J45:J69" si="2">MIN(IF(F45&lt;&gt;"",F45,0),IF(G45&lt;&gt;"",G45,0),IF(H45&lt;&gt;"",H45,0))*E45</f>
        <v>0</v>
      </c>
      <c r="M45" s="181"/>
    </row>
    <row r="46" spans="1:13" ht="12.75" customHeight="1">
      <c r="A46" s="106">
        <v>2</v>
      </c>
      <c r="B46" s="1505"/>
      <c r="C46" s="1506"/>
      <c r="D46" s="756" t="s">
        <v>58</v>
      </c>
      <c r="E46" s="747">
        <f>'Data Entry'!$B$77</f>
        <v>0.18</v>
      </c>
      <c r="F46" s="749"/>
      <c r="G46" s="749"/>
      <c r="H46" s="750"/>
      <c r="I46" s="169">
        <f t="shared" ref="I46:I69" si="3">MIN(IF(F46&lt;&gt;"",F46,0),IF(G46&lt;&gt;"",G46,0),IF(H46&lt;&gt;"",H46,0))</f>
        <v>0</v>
      </c>
      <c r="J46" s="169">
        <f t="shared" si="2"/>
        <v>0</v>
      </c>
      <c r="M46" s="181"/>
    </row>
    <row r="47" spans="1:13">
      <c r="A47" s="106">
        <v>3</v>
      </c>
      <c r="B47" s="1505"/>
      <c r="C47" s="1506"/>
      <c r="D47" s="756" t="s">
        <v>58</v>
      </c>
      <c r="E47" s="747">
        <f>'Data Entry'!$B$77</f>
        <v>0.18</v>
      </c>
      <c r="F47" s="749"/>
      <c r="G47" s="749"/>
      <c r="H47" s="750"/>
      <c r="I47" s="169">
        <f t="shared" si="3"/>
        <v>0</v>
      </c>
      <c r="J47" s="169">
        <f t="shared" si="2"/>
        <v>0</v>
      </c>
      <c r="M47" s="181"/>
    </row>
    <row r="48" spans="1:13" ht="12" customHeight="1">
      <c r="A48" s="106">
        <v>4</v>
      </c>
      <c r="B48" s="1505"/>
      <c r="C48" s="1506"/>
      <c r="D48" s="756" t="s">
        <v>58</v>
      </c>
      <c r="E48" s="747"/>
      <c r="F48" s="749"/>
      <c r="G48" s="749"/>
      <c r="H48" s="750"/>
      <c r="I48" s="169">
        <f t="shared" si="3"/>
        <v>0</v>
      </c>
      <c r="J48" s="169">
        <f t="shared" si="2"/>
        <v>0</v>
      </c>
      <c r="M48" s="181"/>
    </row>
    <row r="49" spans="1:13">
      <c r="A49" s="106">
        <v>5</v>
      </c>
      <c r="B49" s="1505"/>
      <c r="C49" s="1506"/>
      <c r="D49" s="756" t="s">
        <v>58</v>
      </c>
      <c r="E49" s="747"/>
      <c r="F49" s="749"/>
      <c r="G49" s="749"/>
      <c r="H49" s="750"/>
      <c r="I49" s="169">
        <f t="shared" si="3"/>
        <v>0</v>
      </c>
      <c r="J49" s="169">
        <f t="shared" si="2"/>
        <v>0</v>
      </c>
      <c r="M49" s="181"/>
    </row>
    <row r="50" spans="1:13">
      <c r="A50" s="106">
        <v>6</v>
      </c>
      <c r="B50" s="1505"/>
      <c r="C50" s="1506"/>
      <c r="D50" s="756" t="s">
        <v>58</v>
      </c>
      <c r="E50" s="747"/>
      <c r="F50" s="749"/>
      <c r="G50" s="749"/>
      <c r="H50" s="750"/>
      <c r="I50" s="169">
        <f t="shared" si="3"/>
        <v>0</v>
      </c>
      <c r="J50" s="169">
        <f t="shared" si="2"/>
        <v>0</v>
      </c>
      <c r="M50" s="181"/>
    </row>
    <row r="51" spans="1:13">
      <c r="A51" s="106">
        <v>7</v>
      </c>
      <c r="B51" s="1504"/>
      <c r="C51" s="1504"/>
      <c r="D51" s="756" t="s">
        <v>58</v>
      </c>
      <c r="E51" s="747"/>
      <c r="F51" s="749"/>
      <c r="G51" s="749"/>
      <c r="H51" s="750"/>
      <c r="I51" s="169">
        <f t="shared" si="3"/>
        <v>0</v>
      </c>
      <c r="J51" s="169">
        <f t="shared" si="2"/>
        <v>0</v>
      </c>
      <c r="M51" s="181"/>
    </row>
    <row r="52" spans="1:13">
      <c r="A52" s="106">
        <v>8</v>
      </c>
      <c r="B52" s="1504"/>
      <c r="C52" s="1504"/>
      <c r="D52" s="756" t="s">
        <v>58</v>
      </c>
      <c r="E52" s="747"/>
      <c r="F52" s="749"/>
      <c r="G52" s="749"/>
      <c r="H52" s="750"/>
      <c r="I52" s="169">
        <f t="shared" si="3"/>
        <v>0</v>
      </c>
      <c r="J52" s="169">
        <f t="shared" si="2"/>
        <v>0</v>
      </c>
      <c r="M52" s="181"/>
    </row>
    <row r="53" spans="1:13">
      <c r="A53" s="106">
        <v>9</v>
      </c>
      <c r="B53" s="1504"/>
      <c r="C53" s="1504"/>
      <c r="D53" s="756" t="s">
        <v>58</v>
      </c>
      <c r="E53" s="747"/>
      <c r="F53" s="749"/>
      <c r="G53" s="749"/>
      <c r="H53" s="750"/>
      <c r="I53" s="169">
        <f t="shared" si="3"/>
        <v>0</v>
      </c>
      <c r="J53" s="169">
        <f t="shared" si="2"/>
        <v>0</v>
      </c>
      <c r="M53" s="181"/>
    </row>
    <row r="54" spans="1:13">
      <c r="A54" s="106">
        <v>10</v>
      </c>
      <c r="B54" s="1504"/>
      <c r="C54" s="1504"/>
      <c r="D54" s="756" t="s">
        <v>58</v>
      </c>
      <c r="E54" s="747"/>
      <c r="F54" s="749"/>
      <c r="G54" s="749"/>
      <c r="H54" s="750"/>
      <c r="I54" s="169">
        <f t="shared" si="3"/>
        <v>0</v>
      </c>
      <c r="J54" s="169">
        <f t="shared" si="2"/>
        <v>0</v>
      </c>
      <c r="M54" s="181"/>
    </row>
    <row r="55" spans="1:13">
      <c r="A55" s="106">
        <v>11</v>
      </c>
      <c r="B55" s="1504"/>
      <c r="C55" s="1504"/>
      <c r="D55" s="756" t="s">
        <v>58</v>
      </c>
      <c r="E55" s="747"/>
      <c r="F55" s="749"/>
      <c r="G55" s="749"/>
      <c r="H55" s="750"/>
      <c r="I55" s="169">
        <f t="shared" si="3"/>
        <v>0</v>
      </c>
      <c r="J55" s="169">
        <f t="shared" si="2"/>
        <v>0</v>
      </c>
      <c r="M55" s="181"/>
    </row>
    <row r="56" spans="1:13">
      <c r="A56" s="106">
        <v>12</v>
      </c>
      <c r="B56" s="1510"/>
      <c r="C56" s="1511"/>
      <c r="D56" s="756" t="s">
        <v>58</v>
      </c>
      <c r="E56" s="747"/>
      <c r="F56" s="749"/>
      <c r="G56" s="749"/>
      <c r="H56" s="750"/>
      <c r="I56" s="169">
        <f t="shared" si="3"/>
        <v>0</v>
      </c>
      <c r="J56" s="169">
        <f t="shared" si="2"/>
        <v>0</v>
      </c>
      <c r="M56" s="181"/>
    </row>
    <row r="57" spans="1:13">
      <c r="A57" s="106">
        <v>13</v>
      </c>
      <c r="B57" s="1504"/>
      <c r="C57" s="1504"/>
      <c r="D57" s="756" t="s">
        <v>58</v>
      </c>
      <c r="E57" s="747"/>
      <c r="F57" s="749"/>
      <c r="G57" s="749"/>
      <c r="H57" s="750"/>
      <c r="I57" s="169">
        <f t="shared" si="3"/>
        <v>0</v>
      </c>
      <c r="J57" s="169">
        <f t="shared" si="2"/>
        <v>0</v>
      </c>
      <c r="M57" s="181"/>
    </row>
    <row r="58" spans="1:13">
      <c r="A58" s="106">
        <v>14</v>
      </c>
      <c r="B58" s="1504"/>
      <c r="C58" s="1504"/>
      <c r="D58" s="756" t="s">
        <v>58</v>
      </c>
      <c r="E58" s="747"/>
      <c r="F58" s="749"/>
      <c r="G58" s="749"/>
      <c r="H58" s="750"/>
      <c r="I58" s="169">
        <f t="shared" si="3"/>
        <v>0</v>
      </c>
      <c r="J58" s="169">
        <f t="shared" si="2"/>
        <v>0</v>
      </c>
      <c r="M58" s="181"/>
    </row>
    <row r="59" spans="1:13">
      <c r="A59" s="106">
        <v>15</v>
      </c>
      <c r="B59" s="1504"/>
      <c r="C59" s="1504"/>
      <c r="D59" s="756" t="s">
        <v>58</v>
      </c>
      <c r="E59" s="747"/>
      <c r="F59" s="749"/>
      <c r="G59" s="749"/>
      <c r="H59" s="750"/>
      <c r="I59" s="169">
        <f t="shared" si="3"/>
        <v>0</v>
      </c>
      <c r="J59" s="169">
        <f t="shared" si="2"/>
        <v>0</v>
      </c>
      <c r="M59" s="181"/>
    </row>
    <row r="60" spans="1:13">
      <c r="A60" s="106">
        <v>16</v>
      </c>
      <c r="B60" s="1504"/>
      <c r="C60" s="1504"/>
      <c r="D60" s="756" t="s">
        <v>58</v>
      </c>
      <c r="E60" s="747"/>
      <c r="F60" s="749"/>
      <c r="G60" s="749"/>
      <c r="H60" s="750"/>
      <c r="I60" s="169">
        <f t="shared" si="3"/>
        <v>0</v>
      </c>
      <c r="J60" s="169">
        <f t="shared" si="2"/>
        <v>0</v>
      </c>
      <c r="M60" s="181"/>
    </row>
    <row r="61" spans="1:13">
      <c r="A61" s="106">
        <v>17</v>
      </c>
      <c r="B61" s="1504"/>
      <c r="C61" s="1504"/>
      <c r="D61" s="756" t="s">
        <v>58</v>
      </c>
      <c r="E61" s="747"/>
      <c r="F61" s="749"/>
      <c r="G61" s="749"/>
      <c r="H61" s="750"/>
      <c r="I61" s="169">
        <f t="shared" si="3"/>
        <v>0</v>
      </c>
      <c r="J61" s="169">
        <f t="shared" si="2"/>
        <v>0</v>
      </c>
      <c r="M61" s="181"/>
    </row>
    <row r="62" spans="1:13">
      <c r="A62" s="106">
        <v>18</v>
      </c>
      <c r="B62" s="1504"/>
      <c r="C62" s="1504"/>
      <c r="D62" s="756" t="s">
        <v>58</v>
      </c>
      <c r="E62" s="747"/>
      <c r="F62" s="749"/>
      <c r="G62" s="749"/>
      <c r="H62" s="750"/>
      <c r="I62" s="169">
        <f t="shared" si="3"/>
        <v>0</v>
      </c>
      <c r="J62" s="169">
        <f t="shared" si="2"/>
        <v>0</v>
      </c>
      <c r="M62" s="181"/>
    </row>
    <row r="63" spans="1:13">
      <c r="A63" s="106">
        <v>19</v>
      </c>
      <c r="B63" s="1504"/>
      <c r="C63" s="1504"/>
      <c r="D63" s="756" t="s">
        <v>58</v>
      </c>
      <c r="E63" s="747"/>
      <c r="F63" s="749"/>
      <c r="G63" s="749"/>
      <c r="H63" s="750"/>
      <c r="I63" s="169">
        <f t="shared" si="3"/>
        <v>0</v>
      </c>
      <c r="J63" s="169">
        <f t="shared" si="2"/>
        <v>0</v>
      </c>
      <c r="M63" s="181"/>
    </row>
    <row r="64" spans="1:13">
      <c r="A64" s="106">
        <v>20</v>
      </c>
      <c r="B64" s="1504"/>
      <c r="C64" s="1504"/>
      <c r="D64" s="756" t="s">
        <v>58</v>
      </c>
      <c r="E64" s="747"/>
      <c r="F64" s="749"/>
      <c r="G64" s="749"/>
      <c r="H64" s="750"/>
      <c r="I64" s="169">
        <f t="shared" si="3"/>
        <v>0</v>
      </c>
      <c r="J64" s="169">
        <f t="shared" si="2"/>
        <v>0</v>
      </c>
      <c r="M64" s="181"/>
    </row>
    <row r="65" spans="1:19">
      <c r="A65" s="106">
        <v>21</v>
      </c>
      <c r="B65" s="1504"/>
      <c r="C65" s="1504"/>
      <c r="D65" s="756" t="s">
        <v>58</v>
      </c>
      <c r="E65" s="747"/>
      <c r="F65" s="749"/>
      <c r="G65" s="749"/>
      <c r="H65" s="750"/>
      <c r="I65" s="169">
        <f t="shared" si="3"/>
        <v>0</v>
      </c>
      <c r="J65" s="169">
        <f t="shared" si="2"/>
        <v>0</v>
      </c>
      <c r="M65" s="181"/>
    </row>
    <row r="66" spans="1:19">
      <c r="A66" s="106">
        <v>22</v>
      </c>
      <c r="B66" s="1504"/>
      <c r="C66" s="1504"/>
      <c r="D66" s="756" t="s">
        <v>58</v>
      </c>
      <c r="E66" s="747"/>
      <c r="F66" s="749"/>
      <c r="G66" s="749"/>
      <c r="H66" s="750"/>
      <c r="I66" s="169">
        <f t="shared" si="3"/>
        <v>0</v>
      </c>
      <c r="J66" s="169">
        <f t="shared" si="2"/>
        <v>0</v>
      </c>
      <c r="M66" s="181"/>
    </row>
    <row r="67" spans="1:19">
      <c r="A67" s="106">
        <v>23</v>
      </c>
      <c r="B67" s="1504"/>
      <c r="C67" s="1504"/>
      <c r="D67" s="756" t="s">
        <v>58</v>
      </c>
      <c r="E67" s="747"/>
      <c r="F67" s="749"/>
      <c r="G67" s="749"/>
      <c r="H67" s="750"/>
      <c r="I67" s="169">
        <f t="shared" si="3"/>
        <v>0</v>
      </c>
      <c r="J67" s="169">
        <f t="shared" si="2"/>
        <v>0</v>
      </c>
      <c r="M67" s="181"/>
    </row>
    <row r="68" spans="1:19">
      <c r="A68" s="106">
        <v>24</v>
      </c>
      <c r="B68" s="1504"/>
      <c r="C68" s="1504"/>
      <c r="D68" s="756" t="s">
        <v>58</v>
      </c>
      <c r="E68" s="747"/>
      <c r="F68" s="749"/>
      <c r="G68" s="749"/>
      <c r="H68" s="750"/>
      <c r="I68" s="169">
        <f t="shared" si="3"/>
        <v>0</v>
      </c>
      <c r="J68" s="169">
        <f t="shared" si="2"/>
        <v>0</v>
      </c>
      <c r="M68" s="181"/>
    </row>
    <row r="69" spans="1:19">
      <c r="A69" s="106">
        <v>25</v>
      </c>
      <c r="B69" s="1504"/>
      <c r="C69" s="1504"/>
      <c r="D69" s="756" t="s">
        <v>58</v>
      </c>
      <c r="E69" s="747"/>
      <c r="F69" s="749"/>
      <c r="G69" s="749"/>
      <c r="H69" s="750"/>
      <c r="I69" s="169">
        <f t="shared" si="3"/>
        <v>0</v>
      </c>
      <c r="J69" s="169">
        <f t="shared" si="2"/>
        <v>0</v>
      </c>
      <c r="M69" s="181"/>
    </row>
    <row r="70" spans="1:19" ht="12.75" customHeight="1">
      <c r="A70" s="1527" t="s">
        <v>56</v>
      </c>
      <c r="B70" s="1528"/>
      <c r="C70" s="1528"/>
      <c r="D70" s="1528"/>
      <c r="E70" s="1529"/>
      <c r="F70" s="170">
        <f>SUM(F45:F69)</f>
        <v>0</v>
      </c>
      <c r="G70" s="170">
        <f>SUM(G45:G69)</f>
        <v>0</v>
      </c>
      <c r="H70" s="170">
        <f>SUM(H45:H69)</f>
        <v>0</v>
      </c>
      <c r="I70" s="171">
        <f>SUM(I45:I69)</f>
        <v>0</v>
      </c>
      <c r="J70" s="172">
        <f>SUM(J45:J69)</f>
        <v>0</v>
      </c>
      <c r="M70" s="181"/>
    </row>
    <row r="71" spans="1:19" ht="12.75" customHeight="1">
      <c r="A71" s="1537" t="s">
        <v>259</v>
      </c>
      <c r="B71" s="1538"/>
      <c r="C71" s="1538"/>
      <c r="D71" s="1538"/>
      <c r="E71" s="1538"/>
      <c r="F71" s="1538"/>
      <c r="G71" s="1539" t="s">
        <v>175</v>
      </c>
      <c r="H71" s="1540"/>
    </row>
    <row r="72" spans="1:19" ht="12.75" customHeight="1">
      <c r="A72" s="1534" t="str">
        <f>IF(G71="Yes","Total Painting Labour Charge Allowed after depreciation (75%)","Total Painting Labour Charge Allowed")</f>
        <v>Total Painting Labour Charge Allowed</v>
      </c>
      <c r="B72" s="1535"/>
      <c r="C72" s="1535"/>
      <c r="D72" s="1535"/>
      <c r="E72" s="1535"/>
      <c r="F72" s="1536"/>
      <c r="G72" s="1512">
        <f>IF(G71="Yes",(0.75*(I70)),(I70))</f>
        <v>0</v>
      </c>
      <c r="H72" s="1512"/>
      <c r="I72" s="203"/>
      <c r="J72" s="204"/>
    </row>
    <row r="73" spans="1:19" ht="12.75" customHeight="1">
      <c r="A73" s="1531" t="s">
        <v>669</v>
      </c>
      <c r="B73" s="1532"/>
      <c r="C73" s="1532"/>
      <c r="D73" s="1532"/>
      <c r="E73" s="1532"/>
      <c r="F73" s="1533"/>
      <c r="G73" s="1512">
        <f>IF(G71="Yes",(0.75*J70),J70)</f>
        <v>0</v>
      </c>
      <c r="H73" s="1512"/>
      <c r="I73" s="203"/>
      <c r="J73" s="203"/>
    </row>
    <row r="74" spans="1:19" ht="12.75" customHeight="1">
      <c r="A74" s="1530" t="s">
        <v>179</v>
      </c>
      <c r="B74" s="1530"/>
      <c r="C74" s="1530"/>
      <c r="D74" s="1530"/>
      <c r="E74" s="1530"/>
      <c r="F74" s="1530"/>
      <c r="G74" s="1512">
        <f>IF(G71="Yes",(0.25*(I70)),0)</f>
        <v>0</v>
      </c>
      <c r="H74" s="1512"/>
      <c r="I74" s="182"/>
    </row>
    <row r="75" spans="1:19" ht="12.75" customHeight="1">
      <c r="A75" s="121"/>
      <c r="B75" s="121"/>
      <c r="C75" s="121"/>
      <c r="D75" s="121"/>
      <c r="E75" s="121"/>
      <c r="F75" s="121"/>
      <c r="G75" s="576"/>
      <c r="H75" s="576"/>
      <c r="I75" s="182"/>
      <c r="J75" s="577"/>
    </row>
    <row r="76" spans="1:19" ht="12.75" customHeight="1">
      <c r="A76" s="121"/>
      <c r="B76" s="121"/>
      <c r="C76" s="121"/>
      <c r="D76" s="121"/>
      <c r="E76" s="121"/>
      <c r="F76" s="121"/>
      <c r="G76" s="120"/>
      <c r="H76" s="120"/>
      <c r="I76" s="109"/>
    </row>
    <row r="77" spans="1:19" ht="12.75" customHeight="1">
      <c r="A77" s="1513" t="s">
        <v>132</v>
      </c>
      <c r="B77" s="1514"/>
      <c r="C77" s="1515"/>
      <c r="D77" s="110"/>
      <c r="E77" s="110"/>
      <c r="F77" s="110"/>
      <c r="G77" s="111"/>
      <c r="H77" s="111"/>
      <c r="I77" s="111"/>
    </row>
    <row r="78" spans="1:19" ht="55.5" customHeight="1">
      <c r="A78" s="744" t="s">
        <v>25</v>
      </c>
      <c r="B78" s="744" t="s">
        <v>184</v>
      </c>
      <c r="C78" s="759" t="s">
        <v>185</v>
      </c>
      <c r="D78" s="745" t="s">
        <v>639</v>
      </c>
      <c r="E78" s="745" t="s">
        <v>223</v>
      </c>
      <c r="F78" s="760" t="s">
        <v>224</v>
      </c>
      <c r="G78" s="745" t="s">
        <v>257</v>
      </c>
      <c r="H78" s="761" t="s">
        <v>222</v>
      </c>
      <c r="I78" s="762" t="s">
        <v>258</v>
      </c>
      <c r="J78" s="745" t="s">
        <v>667</v>
      </c>
    </row>
    <row r="79" spans="1:19" ht="25.5">
      <c r="A79" s="96">
        <v>1</v>
      </c>
      <c r="B79" s="595" t="str">
        <f>IF(G71="No","Not Applicable","Cost of Paint Material (25% of Lumpsum Painting Labur Charge)")</f>
        <v>Not Applicable</v>
      </c>
      <c r="C79" s="399" t="s">
        <v>642</v>
      </c>
      <c r="D79" s="763">
        <f>'Data Entry'!B77</f>
        <v>0.18</v>
      </c>
      <c r="E79" s="1523" t="s">
        <v>71</v>
      </c>
      <c r="F79" s="1524"/>
      <c r="G79" s="751">
        <f>'Assessment Sheet'!$G$74</f>
        <v>0</v>
      </c>
      <c r="H79" s="108">
        <f>IF('Data Entry'!I17="Yes",0,50)</f>
        <v>0</v>
      </c>
      <c r="I79" s="173">
        <f>G79-G79*H79/100</f>
        <v>0</v>
      </c>
      <c r="J79" s="202">
        <f>I79*D79</f>
        <v>0</v>
      </c>
      <c r="K79" s="1464" t="s">
        <v>235</v>
      </c>
      <c r="L79" s="1465"/>
      <c r="M79" s="1465"/>
      <c r="N79" s="1465"/>
      <c r="O79" s="1465"/>
      <c r="P79" s="1465"/>
      <c r="Q79" s="1465"/>
      <c r="R79" s="1465"/>
      <c r="S79" s="1465"/>
    </row>
    <row r="80" spans="1:19" ht="32.25" customHeight="1">
      <c r="A80" s="142">
        <v>2</v>
      </c>
      <c r="B80" s="596" t="str">
        <f>IF(G71="Yes","Not Applicable","Cost of Paint Material (Calculated on a segregated basis Parts)")</f>
        <v>Cost of Paint Material (Calculated on a segregated basis Parts)</v>
      </c>
      <c r="C80" s="146" t="s">
        <v>121</v>
      </c>
      <c r="D80" s="215">
        <v>0.18</v>
      </c>
      <c r="E80" s="1525" t="s">
        <v>71</v>
      </c>
      <c r="F80" s="1526"/>
      <c r="G80" s="377"/>
      <c r="H80" s="237">
        <f>IF('Data Entry'!I17="Yes",0,50)</f>
        <v>0</v>
      </c>
      <c r="I80" s="173">
        <f>IF(I79&lt;=0,(G80-G80*H80/100),0)</f>
        <v>0</v>
      </c>
      <c r="J80" s="202">
        <f>I80*D80</f>
        <v>0</v>
      </c>
      <c r="K80" s="1466" t="s">
        <v>234</v>
      </c>
      <c r="L80" s="1467"/>
      <c r="M80" s="1467"/>
      <c r="N80" s="1467"/>
      <c r="O80" s="1467"/>
      <c r="P80" s="1467"/>
      <c r="Q80" s="1467"/>
      <c r="R80" s="1467"/>
      <c r="S80" s="1467"/>
    </row>
    <row r="81" spans="1:10" ht="13.5" customHeight="1">
      <c r="A81" s="108">
        <v>3</v>
      </c>
      <c r="B81" s="752"/>
      <c r="C81" s="757" t="s">
        <v>535</v>
      </c>
      <c r="D81" s="758">
        <v>0.18</v>
      </c>
      <c r="E81" s="753"/>
      <c r="F81" s="753"/>
      <c r="G81" s="754"/>
      <c r="H81" s="144">
        <f>IF(C81="",0,IF('Data Entry'!$I$17="Yes",0,VLOOKUP(C81,'Data Entry'!$F$65:$G$71,2,FALSE)))</f>
        <v>0</v>
      </c>
      <c r="I81" s="173">
        <f>IF(C81="",0,MIN(IF(E81&lt;&gt;"",E81,0),IF(F81&lt;&gt;"",F81,0),IF(G81&lt;"",G81,0))-(H81*MIN(IF(E81&lt;&gt;"",E81,0),IF(F81&lt;&gt;"",F81,0),IF(G81&lt;"",G81,0))/100))</f>
        <v>0</v>
      </c>
      <c r="J81" s="191">
        <f>I81*D81</f>
        <v>0</v>
      </c>
    </row>
    <row r="82" spans="1:10" ht="14.25" customHeight="1">
      <c r="A82" s="108">
        <v>4</v>
      </c>
      <c r="B82" s="752"/>
      <c r="C82" s="757" t="s">
        <v>535</v>
      </c>
      <c r="D82" s="758">
        <v>0.18</v>
      </c>
      <c r="E82" s="753"/>
      <c r="F82" s="753"/>
      <c r="G82" s="754"/>
      <c r="H82" s="144">
        <f>IF(C82="",0,IF('Data Entry'!$I$17="Yes",0,VLOOKUP(C82,'Data Entry'!$F$65:$G$71,2,FALSE)))</f>
        <v>0</v>
      </c>
      <c r="I82" s="173">
        <f t="shared" ref="I82:I145" si="4">IF(C82="",0,MIN(IF(E82&lt;&gt;"",E82,0),IF(F82&lt;&gt;"",F82,0),IF(G82&lt;"",G82,0))-(H82*MIN(IF(E82&lt;&gt;"",E82,0),IF(F82&lt;&gt;"",F82,0),IF(G82&lt;"",G82,0))/100))</f>
        <v>0</v>
      </c>
      <c r="J82" s="191">
        <f t="shared" ref="J82:J145" si="5">I82*D82</f>
        <v>0</v>
      </c>
    </row>
    <row r="83" spans="1:10">
      <c r="A83" s="108">
        <v>5</v>
      </c>
      <c r="B83" s="752"/>
      <c r="C83" s="757" t="s">
        <v>535</v>
      </c>
      <c r="D83" s="758">
        <v>0.18</v>
      </c>
      <c r="E83" s="753"/>
      <c r="F83" s="753"/>
      <c r="G83" s="754"/>
      <c r="H83" s="144">
        <f>IF(C83="",0,IF('Data Entry'!$I$17="Yes",0,VLOOKUP(C83,'Data Entry'!$F$65:$G$71,2,FALSE)))</f>
        <v>0</v>
      </c>
      <c r="I83" s="173">
        <f t="shared" si="4"/>
        <v>0</v>
      </c>
      <c r="J83" s="191">
        <f t="shared" si="5"/>
        <v>0</v>
      </c>
    </row>
    <row r="84" spans="1:10">
      <c r="A84" s="108">
        <v>6</v>
      </c>
      <c r="B84" s="752"/>
      <c r="C84" s="757" t="s">
        <v>535</v>
      </c>
      <c r="D84" s="758">
        <v>0.18</v>
      </c>
      <c r="E84" s="753"/>
      <c r="F84" s="753"/>
      <c r="G84" s="754"/>
      <c r="H84" s="144">
        <f>IF(C84="",0,IF('Data Entry'!$I$17="Yes",0,VLOOKUP(C84,'Data Entry'!$F$65:$G$71,2,FALSE)))</f>
        <v>0</v>
      </c>
      <c r="I84" s="173">
        <f t="shared" si="4"/>
        <v>0</v>
      </c>
      <c r="J84" s="191">
        <f t="shared" si="5"/>
        <v>0</v>
      </c>
    </row>
    <row r="85" spans="1:10">
      <c r="A85" s="108">
        <v>7</v>
      </c>
      <c r="B85" s="752"/>
      <c r="C85" s="757" t="s">
        <v>534</v>
      </c>
      <c r="D85" s="758">
        <v>0.18</v>
      </c>
      <c r="E85" s="753"/>
      <c r="F85" s="753"/>
      <c r="G85" s="754"/>
      <c r="H85" s="144">
        <f>IF(C85="",0,IF('Data Entry'!$I$17="Yes",0,VLOOKUP(C85,'Data Entry'!$F$65:$G$71,2,FALSE)))</f>
        <v>0</v>
      </c>
      <c r="I85" s="173">
        <f t="shared" si="4"/>
        <v>0</v>
      </c>
      <c r="J85" s="191">
        <f t="shared" si="5"/>
        <v>0</v>
      </c>
    </row>
    <row r="86" spans="1:10">
      <c r="A86" s="108">
        <v>8</v>
      </c>
      <c r="B86" s="752"/>
      <c r="C86" s="757" t="s">
        <v>535</v>
      </c>
      <c r="D86" s="758">
        <v>0.18</v>
      </c>
      <c r="E86" s="753"/>
      <c r="F86" s="753"/>
      <c r="G86" s="754"/>
      <c r="H86" s="144">
        <f>IF(C86="",0,IF('Data Entry'!$I$17="Yes",0,VLOOKUP(C86,'Data Entry'!$F$65:$G$71,2,FALSE)))</f>
        <v>0</v>
      </c>
      <c r="I86" s="173">
        <f t="shared" si="4"/>
        <v>0</v>
      </c>
      <c r="J86" s="191">
        <f t="shared" si="5"/>
        <v>0</v>
      </c>
    </row>
    <row r="87" spans="1:10">
      <c r="A87" s="108">
        <v>9</v>
      </c>
      <c r="B87" s="752"/>
      <c r="C87" s="757"/>
      <c r="D87" s="758"/>
      <c r="E87" s="753"/>
      <c r="F87" s="753"/>
      <c r="G87" s="754"/>
      <c r="H87" s="144">
        <f>IF(C87="",0,IF('Data Entry'!$I$17="Yes",0,VLOOKUP(C87,'Data Entry'!$F$65:$G$71,2,FALSE)))</f>
        <v>0</v>
      </c>
      <c r="I87" s="173">
        <f t="shared" si="4"/>
        <v>0</v>
      </c>
      <c r="J87" s="191">
        <f t="shared" si="5"/>
        <v>0</v>
      </c>
    </row>
    <row r="88" spans="1:10">
      <c r="A88" s="108">
        <v>10</v>
      </c>
      <c r="B88" s="752"/>
      <c r="C88" s="757"/>
      <c r="D88" s="758"/>
      <c r="E88" s="753"/>
      <c r="F88" s="753"/>
      <c r="G88" s="754"/>
      <c r="H88" s="144">
        <f>IF(C88="",0,IF('Data Entry'!$I$17="Yes",0,VLOOKUP(C88,'Data Entry'!$F$65:$G$71,2,FALSE)))</f>
        <v>0</v>
      </c>
      <c r="I88" s="173">
        <f t="shared" si="4"/>
        <v>0</v>
      </c>
      <c r="J88" s="191">
        <f t="shared" si="5"/>
        <v>0</v>
      </c>
    </row>
    <row r="89" spans="1:10">
      <c r="A89" s="108">
        <v>11</v>
      </c>
      <c r="B89" s="752"/>
      <c r="C89" s="757"/>
      <c r="D89" s="758"/>
      <c r="E89" s="753"/>
      <c r="F89" s="753"/>
      <c r="G89" s="754"/>
      <c r="H89" s="144">
        <f>IF(C89="",0,IF('Data Entry'!$I$17="Yes",0,VLOOKUP(C89,'Data Entry'!$F$65:$G$71,2,FALSE)))</f>
        <v>0</v>
      </c>
      <c r="I89" s="173">
        <f t="shared" si="4"/>
        <v>0</v>
      </c>
      <c r="J89" s="191">
        <f t="shared" si="5"/>
        <v>0</v>
      </c>
    </row>
    <row r="90" spans="1:10">
      <c r="A90" s="108">
        <v>12</v>
      </c>
      <c r="B90" s="752"/>
      <c r="C90" s="757"/>
      <c r="D90" s="758"/>
      <c r="E90" s="753"/>
      <c r="F90" s="753"/>
      <c r="G90" s="754"/>
      <c r="H90" s="144">
        <f>IF(C90="",0,IF('Data Entry'!$I$17="Yes",0,VLOOKUP(C90,'Data Entry'!$F$65:$G$71,2,FALSE)))</f>
        <v>0</v>
      </c>
      <c r="I90" s="173">
        <f t="shared" si="4"/>
        <v>0</v>
      </c>
      <c r="J90" s="191">
        <f t="shared" si="5"/>
        <v>0</v>
      </c>
    </row>
    <row r="91" spans="1:10">
      <c r="A91" s="108">
        <v>13</v>
      </c>
      <c r="B91" s="752"/>
      <c r="C91" s="757"/>
      <c r="D91" s="758"/>
      <c r="E91" s="753"/>
      <c r="F91" s="753"/>
      <c r="G91" s="754"/>
      <c r="H91" s="144">
        <f>IF(C91="",0,IF('Data Entry'!$I$17="Yes",0,VLOOKUP(C91,'Data Entry'!$F$65:$G$71,2,FALSE)))</f>
        <v>0</v>
      </c>
      <c r="I91" s="173">
        <f t="shared" si="4"/>
        <v>0</v>
      </c>
      <c r="J91" s="191">
        <f t="shared" si="5"/>
        <v>0</v>
      </c>
    </row>
    <row r="92" spans="1:10">
      <c r="A92" s="108">
        <v>14</v>
      </c>
      <c r="B92" s="752"/>
      <c r="C92" s="757"/>
      <c r="D92" s="758"/>
      <c r="E92" s="753"/>
      <c r="F92" s="753"/>
      <c r="G92" s="754"/>
      <c r="H92" s="144">
        <f>IF(C92="",0,IF('Data Entry'!$I$17="Yes",0,VLOOKUP(C92,'Data Entry'!$F$65:$G$71,2,FALSE)))</f>
        <v>0</v>
      </c>
      <c r="I92" s="173">
        <f t="shared" si="4"/>
        <v>0</v>
      </c>
      <c r="J92" s="191">
        <f t="shared" si="5"/>
        <v>0</v>
      </c>
    </row>
    <row r="93" spans="1:10">
      <c r="A93" s="108">
        <v>15</v>
      </c>
      <c r="B93" s="752"/>
      <c r="C93" s="757"/>
      <c r="D93" s="758"/>
      <c r="E93" s="753"/>
      <c r="F93" s="753"/>
      <c r="G93" s="754"/>
      <c r="H93" s="144">
        <f>IF(C93="",0,IF('Data Entry'!$I$17="Yes",0,VLOOKUP(C93,'Data Entry'!$F$65:$G$71,2,FALSE)))</f>
        <v>0</v>
      </c>
      <c r="I93" s="173">
        <f t="shared" si="4"/>
        <v>0</v>
      </c>
      <c r="J93" s="191">
        <f t="shared" si="5"/>
        <v>0</v>
      </c>
    </row>
    <row r="94" spans="1:10">
      <c r="A94" s="108">
        <v>16</v>
      </c>
      <c r="B94" s="752"/>
      <c r="C94" s="757"/>
      <c r="D94" s="758"/>
      <c r="E94" s="753"/>
      <c r="F94" s="753"/>
      <c r="G94" s="754"/>
      <c r="H94" s="144">
        <f>IF(C94="",0,IF('Data Entry'!$I$17="Yes",0,VLOOKUP(C94,'Data Entry'!$F$65:$G$71,2,FALSE)))</f>
        <v>0</v>
      </c>
      <c r="I94" s="173">
        <f t="shared" si="4"/>
        <v>0</v>
      </c>
      <c r="J94" s="191">
        <f t="shared" si="5"/>
        <v>0</v>
      </c>
    </row>
    <row r="95" spans="1:10">
      <c r="A95" s="108">
        <v>17</v>
      </c>
      <c r="B95" s="752"/>
      <c r="C95" s="757"/>
      <c r="D95" s="758"/>
      <c r="E95" s="753"/>
      <c r="F95" s="753"/>
      <c r="G95" s="754"/>
      <c r="H95" s="144">
        <f>IF(C95="",0,IF('Data Entry'!$I$17="Yes",0,VLOOKUP(C95,'Data Entry'!$F$65:$G$71,2,FALSE)))</f>
        <v>0</v>
      </c>
      <c r="I95" s="173">
        <f t="shared" si="4"/>
        <v>0</v>
      </c>
      <c r="J95" s="191">
        <f t="shared" si="5"/>
        <v>0</v>
      </c>
    </row>
    <row r="96" spans="1:10">
      <c r="A96" s="108">
        <v>18</v>
      </c>
      <c r="B96" s="752"/>
      <c r="C96" s="757"/>
      <c r="D96" s="758"/>
      <c r="E96" s="753"/>
      <c r="F96" s="753"/>
      <c r="G96" s="754"/>
      <c r="H96" s="144">
        <f>IF(C96="",0,IF('Data Entry'!$I$17="Yes",0,VLOOKUP(C96,'Data Entry'!$F$65:$G$71,2,FALSE)))</f>
        <v>0</v>
      </c>
      <c r="I96" s="173">
        <f t="shared" si="4"/>
        <v>0</v>
      </c>
      <c r="J96" s="191">
        <f t="shared" si="5"/>
        <v>0</v>
      </c>
    </row>
    <row r="97" spans="1:10">
      <c r="A97" s="108">
        <v>19</v>
      </c>
      <c r="B97" s="752"/>
      <c r="C97" s="757"/>
      <c r="D97" s="758"/>
      <c r="E97" s="753"/>
      <c r="F97" s="753"/>
      <c r="G97" s="754"/>
      <c r="H97" s="144">
        <f>IF(C97="",0,IF('Data Entry'!$I$17="Yes",0,VLOOKUP(C97,'Data Entry'!$F$65:$G$71,2,FALSE)))</f>
        <v>0</v>
      </c>
      <c r="I97" s="173">
        <f t="shared" si="4"/>
        <v>0</v>
      </c>
      <c r="J97" s="191">
        <f t="shared" si="5"/>
        <v>0</v>
      </c>
    </row>
    <row r="98" spans="1:10">
      <c r="A98" s="108">
        <v>20</v>
      </c>
      <c r="B98" s="752"/>
      <c r="C98" s="757"/>
      <c r="D98" s="758"/>
      <c r="E98" s="753"/>
      <c r="F98" s="753"/>
      <c r="G98" s="754"/>
      <c r="H98" s="144">
        <f>IF(C98="",0,IF('Data Entry'!$I$17="Yes",0,VLOOKUP(C98,'Data Entry'!$F$65:$G$71,2,FALSE)))</f>
        <v>0</v>
      </c>
      <c r="I98" s="173">
        <f t="shared" si="4"/>
        <v>0</v>
      </c>
      <c r="J98" s="191">
        <f t="shared" si="5"/>
        <v>0</v>
      </c>
    </row>
    <row r="99" spans="1:10">
      <c r="A99" s="108">
        <v>21</v>
      </c>
      <c r="B99" s="752"/>
      <c r="C99" s="757" t="s">
        <v>535</v>
      </c>
      <c r="D99" s="758">
        <v>0.28000000000000003</v>
      </c>
      <c r="E99" s="753"/>
      <c r="F99" s="753"/>
      <c r="G99" s="754">
        <f t="shared" ref="G99:G145" si="6">F99</f>
        <v>0</v>
      </c>
      <c r="H99" s="144">
        <f>IF(C99="",0,IF('Data Entry'!$I$17="Yes",0,VLOOKUP(C99,'Data Entry'!$F$65:$G$71,2,FALSE)))</f>
        <v>0</v>
      </c>
      <c r="I99" s="173">
        <f t="shared" si="4"/>
        <v>0</v>
      </c>
      <c r="J99" s="191">
        <f t="shared" si="5"/>
        <v>0</v>
      </c>
    </row>
    <row r="100" spans="1:10">
      <c r="A100" s="108">
        <v>22</v>
      </c>
      <c r="B100" s="752"/>
      <c r="C100" s="757" t="s">
        <v>535</v>
      </c>
      <c r="D100" s="758">
        <v>0.28000000000000003</v>
      </c>
      <c r="E100" s="753"/>
      <c r="F100" s="753"/>
      <c r="G100" s="754">
        <f t="shared" si="6"/>
        <v>0</v>
      </c>
      <c r="H100" s="144">
        <f>IF(C100="",0,IF('Data Entry'!$I$17="Yes",0,VLOOKUP(C100,'Data Entry'!$F$65:$G$71,2,FALSE)))</f>
        <v>0</v>
      </c>
      <c r="I100" s="173">
        <f t="shared" si="4"/>
        <v>0</v>
      </c>
      <c r="J100" s="191">
        <f t="shared" si="5"/>
        <v>0</v>
      </c>
    </row>
    <row r="101" spans="1:10">
      <c r="A101" s="108">
        <v>23</v>
      </c>
      <c r="B101" s="752"/>
      <c r="C101" s="757" t="s">
        <v>535</v>
      </c>
      <c r="D101" s="758">
        <v>0.28000000000000003</v>
      </c>
      <c r="E101" s="753"/>
      <c r="F101" s="753"/>
      <c r="G101" s="754">
        <f t="shared" si="6"/>
        <v>0</v>
      </c>
      <c r="H101" s="144">
        <f>IF(C101="",0,IF('Data Entry'!$I$17="Yes",0,VLOOKUP(C101,'Data Entry'!$F$65:$G$71,2,FALSE)))</f>
        <v>0</v>
      </c>
      <c r="I101" s="173">
        <f t="shared" si="4"/>
        <v>0</v>
      </c>
      <c r="J101" s="191">
        <f t="shared" si="5"/>
        <v>0</v>
      </c>
    </row>
    <row r="102" spans="1:10">
      <c r="A102" s="108">
        <v>24</v>
      </c>
      <c r="B102" s="752"/>
      <c r="C102" s="757" t="s">
        <v>535</v>
      </c>
      <c r="D102" s="758">
        <v>0.28000000000000003</v>
      </c>
      <c r="E102" s="753"/>
      <c r="F102" s="753"/>
      <c r="G102" s="754">
        <f t="shared" si="6"/>
        <v>0</v>
      </c>
      <c r="H102" s="144">
        <f>IF(C102="",0,IF('Data Entry'!$I$17="Yes",0,VLOOKUP(C102,'Data Entry'!$F$65:$G$71,2,FALSE)))</f>
        <v>0</v>
      </c>
      <c r="I102" s="173">
        <f t="shared" si="4"/>
        <v>0</v>
      </c>
      <c r="J102" s="191">
        <f t="shared" si="5"/>
        <v>0</v>
      </c>
    </row>
    <row r="103" spans="1:10">
      <c r="A103" s="108">
        <v>25</v>
      </c>
      <c r="B103" s="752"/>
      <c r="C103" s="757" t="s">
        <v>535</v>
      </c>
      <c r="D103" s="758">
        <v>0.28000000000000003</v>
      </c>
      <c r="E103" s="753"/>
      <c r="F103" s="753"/>
      <c r="G103" s="754">
        <f t="shared" si="6"/>
        <v>0</v>
      </c>
      <c r="H103" s="144">
        <f>IF(C103="",0,IF('Data Entry'!$I$17="Yes",0,VLOOKUP(C103,'Data Entry'!$F$65:$G$71,2,FALSE)))</f>
        <v>0</v>
      </c>
      <c r="I103" s="173">
        <f t="shared" si="4"/>
        <v>0</v>
      </c>
      <c r="J103" s="191">
        <f t="shared" si="5"/>
        <v>0</v>
      </c>
    </row>
    <row r="104" spans="1:10">
      <c r="A104" s="108">
        <v>26</v>
      </c>
      <c r="B104" s="752"/>
      <c r="C104" s="757" t="s">
        <v>535</v>
      </c>
      <c r="D104" s="758">
        <v>0.28000000000000003</v>
      </c>
      <c r="E104" s="753"/>
      <c r="F104" s="753"/>
      <c r="G104" s="754">
        <f t="shared" si="6"/>
        <v>0</v>
      </c>
      <c r="H104" s="144">
        <f>IF(C104="",0,IF('Data Entry'!$I$17="Yes",0,VLOOKUP(C104,'Data Entry'!$F$65:$G$71,2,FALSE)))</f>
        <v>0</v>
      </c>
      <c r="I104" s="173">
        <f t="shared" si="4"/>
        <v>0</v>
      </c>
      <c r="J104" s="191">
        <f t="shared" si="5"/>
        <v>0</v>
      </c>
    </row>
    <row r="105" spans="1:10">
      <c r="A105" s="108">
        <v>27</v>
      </c>
      <c r="B105" s="752"/>
      <c r="C105" s="757" t="s">
        <v>535</v>
      </c>
      <c r="D105" s="758">
        <v>0.28000000000000003</v>
      </c>
      <c r="E105" s="753"/>
      <c r="F105" s="753"/>
      <c r="G105" s="754">
        <f t="shared" si="6"/>
        <v>0</v>
      </c>
      <c r="H105" s="144">
        <f>IF(C105="",0,IF('Data Entry'!$I$17="Yes",0,VLOOKUP(C105,'Data Entry'!$F$65:$G$71,2,FALSE)))</f>
        <v>0</v>
      </c>
      <c r="I105" s="173">
        <f t="shared" si="4"/>
        <v>0</v>
      </c>
      <c r="J105" s="191">
        <f t="shared" si="5"/>
        <v>0</v>
      </c>
    </row>
    <row r="106" spans="1:10">
      <c r="A106" s="108">
        <v>28</v>
      </c>
      <c r="B106" s="752"/>
      <c r="C106" s="757" t="s">
        <v>535</v>
      </c>
      <c r="D106" s="758">
        <v>0.28000000000000003</v>
      </c>
      <c r="E106" s="753"/>
      <c r="F106" s="753"/>
      <c r="G106" s="754">
        <f t="shared" si="6"/>
        <v>0</v>
      </c>
      <c r="H106" s="144">
        <f>IF(C106="",0,IF('Data Entry'!$I$17="Yes",0,VLOOKUP(C106,'Data Entry'!$F$65:$G$71,2,FALSE)))</f>
        <v>0</v>
      </c>
      <c r="I106" s="173">
        <f t="shared" si="4"/>
        <v>0</v>
      </c>
      <c r="J106" s="191">
        <f t="shared" si="5"/>
        <v>0</v>
      </c>
    </row>
    <row r="107" spans="1:10">
      <c r="A107" s="108">
        <v>29</v>
      </c>
      <c r="B107" s="752"/>
      <c r="C107" s="757" t="s">
        <v>535</v>
      </c>
      <c r="D107" s="758">
        <v>0.28000000000000003</v>
      </c>
      <c r="E107" s="753"/>
      <c r="F107" s="753"/>
      <c r="G107" s="754">
        <f t="shared" si="6"/>
        <v>0</v>
      </c>
      <c r="H107" s="144">
        <f>IF(C107="",0,IF('Data Entry'!$I$17="Yes",0,VLOOKUP(C107,'Data Entry'!$F$65:$G$71,2,FALSE)))</f>
        <v>0</v>
      </c>
      <c r="I107" s="173">
        <f t="shared" si="4"/>
        <v>0</v>
      </c>
      <c r="J107" s="191">
        <f t="shared" si="5"/>
        <v>0</v>
      </c>
    </row>
    <row r="108" spans="1:10">
      <c r="A108" s="108">
        <v>30</v>
      </c>
      <c r="B108" s="752"/>
      <c r="C108" s="757" t="s">
        <v>535</v>
      </c>
      <c r="D108" s="758">
        <v>0.28000000000000003</v>
      </c>
      <c r="E108" s="753"/>
      <c r="F108" s="753"/>
      <c r="G108" s="754">
        <f t="shared" si="6"/>
        <v>0</v>
      </c>
      <c r="H108" s="144">
        <f>IF(C108="",0,IF('Data Entry'!$I$17="Yes",0,VLOOKUP(C108,'Data Entry'!$F$65:$G$71,2,FALSE)))</f>
        <v>0</v>
      </c>
      <c r="I108" s="173">
        <f t="shared" si="4"/>
        <v>0</v>
      </c>
      <c r="J108" s="191">
        <f t="shared" si="5"/>
        <v>0</v>
      </c>
    </row>
    <row r="109" spans="1:10">
      <c r="A109" s="108">
        <v>31</v>
      </c>
      <c r="B109" s="752"/>
      <c r="C109" s="757" t="s">
        <v>535</v>
      </c>
      <c r="D109" s="758">
        <v>0.28000000000000003</v>
      </c>
      <c r="E109" s="753"/>
      <c r="F109" s="753"/>
      <c r="G109" s="754">
        <f t="shared" si="6"/>
        <v>0</v>
      </c>
      <c r="H109" s="144">
        <f>IF(C109="",0,IF('Data Entry'!$I$17="Yes",0,VLOOKUP(C109,'Data Entry'!$F$65:$G$71,2,FALSE)))</f>
        <v>0</v>
      </c>
      <c r="I109" s="173">
        <f t="shared" si="4"/>
        <v>0</v>
      </c>
      <c r="J109" s="191">
        <f t="shared" si="5"/>
        <v>0</v>
      </c>
    </row>
    <row r="110" spans="1:10">
      <c r="A110" s="108">
        <v>32</v>
      </c>
      <c r="B110" s="752"/>
      <c r="C110" s="757" t="s">
        <v>535</v>
      </c>
      <c r="D110" s="758">
        <v>0.28000000000000003</v>
      </c>
      <c r="E110" s="753"/>
      <c r="F110" s="753"/>
      <c r="G110" s="754">
        <f t="shared" si="6"/>
        <v>0</v>
      </c>
      <c r="H110" s="144">
        <f>IF(C110="",0,IF('Data Entry'!$I$17="Yes",0,VLOOKUP(C110,'Data Entry'!$F$65:$G$71,2,FALSE)))</f>
        <v>0</v>
      </c>
      <c r="I110" s="173">
        <f t="shared" si="4"/>
        <v>0</v>
      </c>
      <c r="J110" s="191">
        <f t="shared" si="5"/>
        <v>0</v>
      </c>
    </row>
    <row r="111" spans="1:10">
      <c r="A111" s="108">
        <v>33</v>
      </c>
      <c r="B111" s="752"/>
      <c r="C111" s="757" t="s">
        <v>535</v>
      </c>
      <c r="D111" s="758">
        <v>0.28000000000000003</v>
      </c>
      <c r="E111" s="753"/>
      <c r="F111" s="753"/>
      <c r="G111" s="754">
        <f t="shared" si="6"/>
        <v>0</v>
      </c>
      <c r="H111" s="144">
        <f>IF(C111="",0,IF('Data Entry'!$I$17="Yes",0,VLOOKUP(C111,'Data Entry'!$F$65:$G$71,2,FALSE)))</f>
        <v>0</v>
      </c>
      <c r="I111" s="173">
        <f t="shared" si="4"/>
        <v>0</v>
      </c>
      <c r="J111" s="191">
        <f t="shared" si="5"/>
        <v>0</v>
      </c>
    </row>
    <row r="112" spans="1:10">
      <c r="A112" s="108">
        <v>34</v>
      </c>
      <c r="B112" s="752"/>
      <c r="C112" s="757" t="s">
        <v>535</v>
      </c>
      <c r="D112" s="758">
        <v>0.28000000000000003</v>
      </c>
      <c r="E112" s="753"/>
      <c r="F112" s="753"/>
      <c r="G112" s="754">
        <f t="shared" si="6"/>
        <v>0</v>
      </c>
      <c r="H112" s="144">
        <f>IF(C112="",0,IF('Data Entry'!$I$17="Yes",0,VLOOKUP(C112,'Data Entry'!$F$65:$G$71,2,FALSE)))</f>
        <v>0</v>
      </c>
      <c r="I112" s="173">
        <f t="shared" si="4"/>
        <v>0</v>
      </c>
      <c r="J112" s="191">
        <f t="shared" si="5"/>
        <v>0</v>
      </c>
    </row>
    <row r="113" spans="1:10">
      <c r="A113" s="108">
        <v>35</v>
      </c>
      <c r="B113" s="752"/>
      <c r="C113" s="757" t="s">
        <v>535</v>
      </c>
      <c r="D113" s="758">
        <v>0.28000000000000003</v>
      </c>
      <c r="E113" s="753"/>
      <c r="F113" s="753"/>
      <c r="G113" s="754">
        <f t="shared" si="6"/>
        <v>0</v>
      </c>
      <c r="H113" s="144">
        <f>IF(C113="",0,IF('Data Entry'!$I$17="Yes",0,VLOOKUP(C113,'Data Entry'!$F$65:$G$71,2,FALSE)))</f>
        <v>0</v>
      </c>
      <c r="I113" s="173">
        <f t="shared" si="4"/>
        <v>0</v>
      </c>
      <c r="J113" s="191">
        <f t="shared" si="5"/>
        <v>0</v>
      </c>
    </row>
    <row r="114" spans="1:10">
      <c r="A114" s="108">
        <v>36</v>
      </c>
      <c r="B114" s="752"/>
      <c r="C114" s="757" t="s">
        <v>535</v>
      </c>
      <c r="D114" s="758">
        <v>0.28000000000000003</v>
      </c>
      <c r="E114" s="753"/>
      <c r="F114" s="753"/>
      <c r="G114" s="754">
        <f t="shared" si="6"/>
        <v>0</v>
      </c>
      <c r="H114" s="144">
        <f>IF(C114="",0,IF('Data Entry'!$I$17="Yes",0,VLOOKUP(C114,'Data Entry'!$F$65:$G$71,2,FALSE)))</f>
        <v>0</v>
      </c>
      <c r="I114" s="173">
        <f t="shared" si="4"/>
        <v>0</v>
      </c>
      <c r="J114" s="191">
        <f t="shared" si="5"/>
        <v>0</v>
      </c>
    </row>
    <row r="115" spans="1:10">
      <c r="A115" s="108">
        <v>37</v>
      </c>
      <c r="B115" s="752"/>
      <c r="C115" s="757" t="s">
        <v>535</v>
      </c>
      <c r="D115" s="758">
        <v>0.28000000000000003</v>
      </c>
      <c r="E115" s="753"/>
      <c r="F115" s="753"/>
      <c r="G115" s="754">
        <f t="shared" si="6"/>
        <v>0</v>
      </c>
      <c r="H115" s="144">
        <f>IF(C115="",0,IF('Data Entry'!$I$17="Yes",0,VLOOKUP(C115,'Data Entry'!$F$65:$G$71,2,FALSE)))</f>
        <v>0</v>
      </c>
      <c r="I115" s="173">
        <f t="shared" si="4"/>
        <v>0</v>
      </c>
      <c r="J115" s="191">
        <f t="shared" si="5"/>
        <v>0</v>
      </c>
    </row>
    <row r="116" spans="1:10">
      <c r="A116" s="108">
        <v>38</v>
      </c>
      <c r="B116" s="752"/>
      <c r="C116" s="757" t="s">
        <v>535</v>
      </c>
      <c r="D116" s="758">
        <v>0.28000000000000003</v>
      </c>
      <c r="E116" s="753"/>
      <c r="F116" s="753"/>
      <c r="G116" s="754">
        <f t="shared" si="6"/>
        <v>0</v>
      </c>
      <c r="H116" s="144">
        <f>IF(C116="",0,IF('Data Entry'!$I$17="Yes",0,VLOOKUP(C116,'Data Entry'!$F$65:$G$71,2,FALSE)))</f>
        <v>0</v>
      </c>
      <c r="I116" s="173">
        <f t="shared" si="4"/>
        <v>0</v>
      </c>
      <c r="J116" s="191">
        <f t="shared" si="5"/>
        <v>0</v>
      </c>
    </row>
    <row r="117" spans="1:10">
      <c r="A117" s="108">
        <v>39</v>
      </c>
      <c r="B117" s="752"/>
      <c r="C117" s="757" t="s">
        <v>535</v>
      </c>
      <c r="D117" s="758">
        <v>0.28000000000000003</v>
      </c>
      <c r="E117" s="753"/>
      <c r="F117" s="753"/>
      <c r="G117" s="754">
        <f t="shared" si="6"/>
        <v>0</v>
      </c>
      <c r="H117" s="144">
        <f>IF(C117="",0,IF('Data Entry'!$I$17="Yes",0,VLOOKUP(C117,'Data Entry'!$F$65:$G$71,2,FALSE)))</f>
        <v>0</v>
      </c>
      <c r="I117" s="173">
        <f t="shared" si="4"/>
        <v>0</v>
      </c>
      <c r="J117" s="191">
        <f t="shared" si="5"/>
        <v>0</v>
      </c>
    </row>
    <row r="118" spans="1:10">
      <c r="A118" s="108">
        <v>40</v>
      </c>
      <c r="B118" s="752"/>
      <c r="C118" s="757" t="s">
        <v>535</v>
      </c>
      <c r="D118" s="758">
        <v>0.28000000000000003</v>
      </c>
      <c r="E118" s="753"/>
      <c r="F118" s="753"/>
      <c r="G118" s="754">
        <f t="shared" si="6"/>
        <v>0</v>
      </c>
      <c r="H118" s="144">
        <f>IF(C118="",0,IF('Data Entry'!$I$17="Yes",0,VLOOKUP(C118,'Data Entry'!$F$65:$G$71,2,FALSE)))</f>
        <v>0</v>
      </c>
      <c r="I118" s="173">
        <f t="shared" si="4"/>
        <v>0</v>
      </c>
      <c r="J118" s="191">
        <f t="shared" si="5"/>
        <v>0</v>
      </c>
    </row>
    <row r="119" spans="1:10">
      <c r="A119" s="108">
        <v>41</v>
      </c>
      <c r="B119" s="752"/>
      <c r="C119" s="757" t="s">
        <v>535</v>
      </c>
      <c r="D119" s="758">
        <v>0.28000000000000003</v>
      </c>
      <c r="E119" s="753"/>
      <c r="F119" s="753"/>
      <c r="G119" s="754">
        <f t="shared" si="6"/>
        <v>0</v>
      </c>
      <c r="H119" s="144">
        <f>IF(C119="",0,IF('Data Entry'!$I$17="Yes",0,VLOOKUP(C119,'Data Entry'!$F$65:$G$71,2,FALSE)))</f>
        <v>0</v>
      </c>
      <c r="I119" s="173">
        <f t="shared" si="4"/>
        <v>0</v>
      </c>
      <c r="J119" s="191">
        <f t="shared" si="5"/>
        <v>0</v>
      </c>
    </row>
    <row r="120" spans="1:10">
      <c r="A120" s="108">
        <v>42</v>
      </c>
      <c r="B120" s="752"/>
      <c r="C120" s="757" t="s">
        <v>535</v>
      </c>
      <c r="D120" s="758">
        <v>0.28000000000000003</v>
      </c>
      <c r="E120" s="753"/>
      <c r="F120" s="753"/>
      <c r="G120" s="754">
        <f t="shared" si="6"/>
        <v>0</v>
      </c>
      <c r="H120" s="144">
        <f>IF(C120="",0,IF('Data Entry'!$I$17="Yes",0,VLOOKUP(C120,'Data Entry'!$F$65:$G$71,2,FALSE)))</f>
        <v>0</v>
      </c>
      <c r="I120" s="173">
        <f t="shared" si="4"/>
        <v>0</v>
      </c>
      <c r="J120" s="191">
        <f t="shared" si="5"/>
        <v>0</v>
      </c>
    </row>
    <row r="121" spans="1:10">
      <c r="A121" s="108">
        <v>43</v>
      </c>
      <c r="B121" s="752"/>
      <c r="C121" s="757" t="s">
        <v>535</v>
      </c>
      <c r="D121" s="758">
        <v>0.28000000000000003</v>
      </c>
      <c r="E121" s="753"/>
      <c r="F121" s="753"/>
      <c r="G121" s="754">
        <f t="shared" si="6"/>
        <v>0</v>
      </c>
      <c r="H121" s="144">
        <f>IF(C121="",0,IF('Data Entry'!$I$17="Yes",0,VLOOKUP(C121,'Data Entry'!$F$65:$G$71,2,FALSE)))</f>
        <v>0</v>
      </c>
      <c r="I121" s="173">
        <f t="shared" si="4"/>
        <v>0</v>
      </c>
      <c r="J121" s="191">
        <f t="shared" si="5"/>
        <v>0</v>
      </c>
    </row>
    <row r="122" spans="1:10">
      <c r="A122" s="108">
        <v>44</v>
      </c>
      <c r="B122" s="752"/>
      <c r="C122" s="757" t="s">
        <v>535</v>
      </c>
      <c r="D122" s="758">
        <v>0.28000000000000003</v>
      </c>
      <c r="E122" s="753"/>
      <c r="F122" s="753"/>
      <c r="G122" s="754">
        <f t="shared" si="6"/>
        <v>0</v>
      </c>
      <c r="H122" s="144">
        <f>IF(C122="",0,IF('Data Entry'!$I$17="Yes",0,VLOOKUP(C122,'Data Entry'!$F$65:$G$71,2,FALSE)))</f>
        <v>0</v>
      </c>
      <c r="I122" s="173">
        <f t="shared" si="4"/>
        <v>0</v>
      </c>
      <c r="J122" s="191">
        <f t="shared" si="5"/>
        <v>0</v>
      </c>
    </row>
    <row r="123" spans="1:10">
      <c r="A123" s="108">
        <v>45</v>
      </c>
      <c r="B123" s="752"/>
      <c r="C123" s="757" t="s">
        <v>535</v>
      </c>
      <c r="D123" s="758">
        <v>0.28000000000000003</v>
      </c>
      <c r="E123" s="753"/>
      <c r="F123" s="753"/>
      <c r="G123" s="754">
        <f t="shared" si="6"/>
        <v>0</v>
      </c>
      <c r="H123" s="144">
        <f>IF(C123="",0,IF('Data Entry'!$I$17="Yes",0,VLOOKUP(C123,'Data Entry'!$F$65:$G$71,2,FALSE)))</f>
        <v>0</v>
      </c>
      <c r="I123" s="173">
        <f t="shared" si="4"/>
        <v>0</v>
      </c>
      <c r="J123" s="191">
        <f t="shared" si="5"/>
        <v>0</v>
      </c>
    </row>
    <row r="124" spans="1:10">
      <c r="A124" s="108">
        <v>46</v>
      </c>
      <c r="B124" s="752"/>
      <c r="C124" s="757" t="s">
        <v>535</v>
      </c>
      <c r="D124" s="758">
        <v>0.28000000000000003</v>
      </c>
      <c r="E124" s="753"/>
      <c r="F124" s="753"/>
      <c r="G124" s="754">
        <f t="shared" si="6"/>
        <v>0</v>
      </c>
      <c r="H124" s="144">
        <f>IF(C124="",0,IF('Data Entry'!$I$17="Yes",0,VLOOKUP(C124,'Data Entry'!$F$65:$G$71,2,FALSE)))</f>
        <v>0</v>
      </c>
      <c r="I124" s="173">
        <f t="shared" si="4"/>
        <v>0</v>
      </c>
      <c r="J124" s="191">
        <f t="shared" si="5"/>
        <v>0</v>
      </c>
    </row>
    <row r="125" spans="1:10">
      <c r="A125" s="108">
        <v>47</v>
      </c>
      <c r="B125" s="752"/>
      <c r="C125" s="757" t="s">
        <v>535</v>
      </c>
      <c r="D125" s="758">
        <v>0.28000000000000003</v>
      </c>
      <c r="E125" s="753"/>
      <c r="F125" s="753"/>
      <c r="G125" s="754">
        <f t="shared" si="6"/>
        <v>0</v>
      </c>
      <c r="H125" s="144">
        <f>IF(C125="",0,IF('Data Entry'!$I$17="Yes",0,VLOOKUP(C125,'Data Entry'!$F$65:$G$71,2,FALSE)))</f>
        <v>0</v>
      </c>
      <c r="I125" s="173">
        <f t="shared" si="4"/>
        <v>0</v>
      </c>
      <c r="J125" s="191">
        <f t="shared" si="5"/>
        <v>0</v>
      </c>
    </row>
    <row r="126" spans="1:10">
      <c r="A126" s="108">
        <v>48</v>
      </c>
      <c r="B126" s="752"/>
      <c r="C126" s="757" t="s">
        <v>535</v>
      </c>
      <c r="D126" s="758">
        <v>0.28000000000000003</v>
      </c>
      <c r="E126" s="753"/>
      <c r="F126" s="753"/>
      <c r="G126" s="754">
        <f t="shared" si="6"/>
        <v>0</v>
      </c>
      <c r="H126" s="144">
        <f>IF(C126="",0,IF('Data Entry'!$I$17="Yes",0,VLOOKUP(C126,'Data Entry'!$F$65:$G$71,2,FALSE)))</f>
        <v>0</v>
      </c>
      <c r="I126" s="173">
        <f t="shared" si="4"/>
        <v>0</v>
      </c>
      <c r="J126" s="191">
        <f t="shared" si="5"/>
        <v>0</v>
      </c>
    </row>
    <row r="127" spans="1:10">
      <c r="A127" s="108">
        <v>49</v>
      </c>
      <c r="B127" s="752"/>
      <c r="C127" s="757" t="s">
        <v>535</v>
      </c>
      <c r="D127" s="758">
        <v>0.28000000000000003</v>
      </c>
      <c r="E127" s="753"/>
      <c r="F127" s="753"/>
      <c r="G127" s="754">
        <f t="shared" si="6"/>
        <v>0</v>
      </c>
      <c r="H127" s="144">
        <f>IF(C127="",0,IF('Data Entry'!$I$17="Yes",0,VLOOKUP(C127,'Data Entry'!$F$65:$G$71,2,FALSE)))</f>
        <v>0</v>
      </c>
      <c r="I127" s="173">
        <f t="shared" si="4"/>
        <v>0</v>
      </c>
      <c r="J127" s="191">
        <f t="shared" si="5"/>
        <v>0</v>
      </c>
    </row>
    <row r="128" spans="1:10">
      <c r="A128" s="108">
        <v>50</v>
      </c>
      <c r="B128" s="752"/>
      <c r="C128" s="757" t="s">
        <v>535</v>
      </c>
      <c r="D128" s="758">
        <v>0.28000000000000003</v>
      </c>
      <c r="E128" s="753"/>
      <c r="F128" s="753"/>
      <c r="G128" s="754">
        <f t="shared" si="6"/>
        <v>0</v>
      </c>
      <c r="H128" s="144">
        <f>IF(C128="",0,IF('Data Entry'!$I$17="Yes",0,VLOOKUP(C128,'Data Entry'!$F$65:$G$71,2,FALSE)))</f>
        <v>0</v>
      </c>
      <c r="I128" s="173">
        <f t="shared" si="4"/>
        <v>0</v>
      </c>
      <c r="J128" s="191">
        <f t="shared" si="5"/>
        <v>0</v>
      </c>
    </row>
    <row r="129" spans="1:10">
      <c r="A129" s="108">
        <v>51</v>
      </c>
      <c r="B129" s="752"/>
      <c r="C129" s="757" t="s">
        <v>535</v>
      </c>
      <c r="D129" s="758">
        <v>0.28000000000000003</v>
      </c>
      <c r="E129" s="753"/>
      <c r="F129" s="753"/>
      <c r="G129" s="754">
        <f t="shared" si="6"/>
        <v>0</v>
      </c>
      <c r="H129" s="144">
        <f>IF(C129="",0,IF('Data Entry'!$I$17="Yes",0,VLOOKUP(C129,'Data Entry'!$F$65:$G$71,2,FALSE)))</f>
        <v>0</v>
      </c>
      <c r="I129" s="173">
        <f t="shared" si="4"/>
        <v>0</v>
      </c>
      <c r="J129" s="191">
        <f t="shared" si="5"/>
        <v>0</v>
      </c>
    </row>
    <row r="130" spans="1:10">
      <c r="A130" s="108">
        <v>52</v>
      </c>
      <c r="B130" s="752"/>
      <c r="C130" s="757" t="s">
        <v>535</v>
      </c>
      <c r="D130" s="758">
        <v>0.28000000000000003</v>
      </c>
      <c r="E130" s="753"/>
      <c r="F130" s="753"/>
      <c r="G130" s="754">
        <f t="shared" si="6"/>
        <v>0</v>
      </c>
      <c r="H130" s="144">
        <f>IF(C130="",0,IF('Data Entry'!$I$17="Yes",0,VLOOKUP(C130,'Data Entry'!$F$65:$G$71,2,FALSE)))</f>
        <v>0</v>
      </c>
      <c r="I130" s="173">
        <f t="shared" si="4"/>
        <v>0</v>
      </c>
      <c r="J130" s="191">
        <f t="shared" si="5"/>
        <v>0</v>
      </c>
    </row>
    <row r="131" spans="1:10">
      <c r="A131" s="108">
        <v>53</v>
      </c>
      <c r="B131" s="752"/>
      <c r="C131" s="757" t="s">
        <v>535</v>
      </c>
      <c r="D131" s="758">
        <v>0.28000000000000003</v>
      </c>
      <c r="E131" s="753"/>
      <c r="F131" s="753"/>
      <c r="G131" s="754">
        <f t="shared" si="6"/>
        <v>0</v>
      </c>
      <c r="H131" s="144">
        <f>IF(C131="",0,IF('Data Entry'!$I$17="Yes",0,VLOOKUP(C131,'Data Entry'!$F$65:$G$71,2,FALSE)))</f>
        <v>0</v>
      </c>
      <c r="I131" s="173">
        <f t="shared" si="4"/>
        <v>0</v>
      </c>
      <c r="J131" s="191">
        <f t="shared" si="5"/>
        <v>0</v>
      </c>
    </row>
    <row r="132" spans="1:10">
      <c r="A132" s="108">
        <v>54</v>
      </c>
      <c r="B132" s="752"/>
      <c r="C132" s="757" t="s">
        <v>535</v>
      </c>
      <c r="D132" s="758">
        <v>0.28000000000000003</v>
      </c>
      <c r="E132" s="753"/>
      <c r="F132" s="753"/>
      <c r="G132" s="754">
        <f t="shared" si="6"/>
        <v>0</v>
      </c>
      <c r="H132" s="144">
        <f>IF(C132="",0,IF('Data Entry'!$I$17="Yes",0,VLOOKUP(C132,'Data Entry'!$F$65:$G$71,2,FALSE)))</f>
        <v>0</v>
      </c>
      <c r="I132" s="173">
        <f t="shared" si="4"/>
        <v>0</v>
      </c>
      <c r="J132" s="191">
        <f t="shared" si="5"/>
        <v>0</v>
      </c>
    </row>
    <row r="133" spans="1:10">
      <c r="A133" s="108">
        <v>55</v>
      </c>
      <c r="B133" s="752"/>
      <c r="C133" s="757" t="s">
        <v>535</v>
      </c>
      <c r="D133" s="758">
        <v>0.28000000000000003</v>
      </c>
      <c r="E133" s="753"/>
      <c r="F133" s="753"/>
      <c r="G133" s="754">
        <f t="shared" si="6"/>
        <v>0</v>
      </c>
      <c r="H133" s="144">
        <f>IF(C133="",0,IF('Data Entry'!$I$17="Yes",0,VLOOKUP(C133,'Data Entry'!$F$65:$G$71,2,FALSE)))</f>
        <v>0</v>
      </c>
      <c r="I133" s="173">
        <f t="shared" si="4"/>
        <v>0</v>
      </c>
      <c r="J133" s="191">
        <f t="shared" si="5"/>
        <v>0</v>
      </c>
    </row>
    <row r="134" spans="1:10">
      <c r="A134" s="108">
        <v>56</v>
      </c>
      <c r="B134" s="752"/>
      <c r="C134" s="757" t="s">
        <v>535</v>
      </c>
      <c r="D134" s="758">
        <v>0.28000000000000003</v>
      </c>
      <c r="E134" s="753"/>
      <c r="F134" s="753"/>
      <c r="G134" s="754">
        <f t="shared" si="6"/>
        <v>0</v>
      </c>
      <c r="H134" s="144">
        <f>IF(C134="",0,IF('Data Entry'!$I$17="Yes",0,VLOOKUP(C134,'Data Entry'!$F$65:$G$71,2,FALSE)))</f>
        <v>0</v>
      </c>
      <c r="I134" s="173">
        <f t="shared" si="4"/>
        <v>0</v>
      </c>
      <c r="J134" s="191">
        <f t="shared" si="5"/>
        <v>0</v>
      </c>
    </row>
    <row r="135" spans="1:10">
      <c r="A135" s="108">
        <v>57</v>
      </c>
      <c r="B135" s="752"/>
      <c r="C135" s="757" t="s">
        <v>535</v>
      </c>
      <c r="D135" s="758">
        <v>0.28000000000000003</v>
      </c>
      <c r="E135" s="753"/>
      <c r="F135" s="753"/>
      <c r="G135" s="754">
        <f t="shared" si="6"/>
        <v>0</v>
      </c>
      <c r="H135" s="144">
        <f>IF(C135="",0,IF('Data Entry'!$I$17="Yes",0,VLOOKUP(C135,'Data Entry'!$F$65:$G$71,2,FALSE)))</f>
        <v>0</v>
      </c>
      <c r="I135" s="173">
        <f t="shared" si="4"/>
        <v>0</v>
      </c>
      <c r="J135" s="191">
        <f t="shared" si="5"/>
        <v>0</v>
      </c>
    </row>
    <row r="136" spans="1:10">
      <c r="A136" s="108">
        <v>58</v>
      </c>
      <c r="B136" s="752"/>
      <c r="C136" s="757" t="s">
        <v>535</v>
      </c>
      <c r="D136" s="758">
        <v>0.28000000000000003</v>
      </c>
      <c r="E136" s="753"/>
      <c r="F136" s="753"/>
      <c r="G136" s="754">
        <f t="shared" si="6"/>
        <v>0</v>
      </c>
      <c r="H136" s="144">
        <f>IF(C136="",0,IF('Data Entry'!$I$17="Yes",0,VLOOKUP(C136,'Data Entry'!$F$65:$G$71,2,FALSE)))</f>
        <v>0</v>
      </c>
      <c r="I136" s="173">
        <f t="shared" si="4"/>
        <v>0</v>
      </c>
      <c r="J136" s="191">
        <f t="shared" si="5"/>
        <v>0</v>
      </c>
    </row>
    <row r="137" spans="1:10">
      <c r="A137" s="108">
        <v>59</v>
      </c>
      <c r="B137" s="752"/>
      <c r="C137" s="757" t="s">
        <v>535</v>
      </c>
      <c r="D137" s="758">
        <v>0.28000000000000003</v>
      </c>
      <c r="E137" s="753"/>
      <c r="F137" s="753"/>
      <c r="G137" s="754">
        <f t="shared" si="6"/>
        <v>0</v>
      </c>
      <c r="H137" s="144">
        <f>IF(C137="",0,IF('Data Entry'!$I$17="Yes",0,VLOOKUP(C137,'Data Entry'!$F$65:$G$71,2,FALSE)))</f>
        <v>0</v>
      </c>
      <c r="I137" s="173">
        <f t="shared" si="4"/>
        <v>0</v>
      </c>
      <c r="J137" s="191">
        <f t="shared" si="5"/>
        <v>0</v>
      </c>
    </row>
    <row r="138" spans="1:10">
      <c r="A138" s="108">
        <v>60</v>
      </c>
      <c r="B138" s="752"/>
      <c r="C138" s="757" t="s">
        <v>535</v>
      </c>
      <c r="D138" s="758">
        <v>0.28000000000000003</v>
      </c>
      <c r="E138" s="753"/>
      <c r="F138" s="753"/>
      <c r="G138" s="754">
        <f t="shared" si="6"/>
        <v>0</v>
      </c>
      <c r="H138" s="144">
        <f>IF(C138="",0,IF('Data Entry'!$I$17="Yes",0,VLOOKUP(C138,'Data Entry'!$F$65:$G$71,2,FALSE)))</f>
        <v>0</v>
      </c>
      <c r="I138" s="173">
        <f t="shared" si="4"/>
        <v>0</v>
      </c>
      <c r="J138" s="191">
        <f t="shared" si="5"/>
        <v>0</v>
      </c>
    </row>
    <row r="139" spans="1:10">
      <c r="A139" s="108">
        <v>61</v>
      </c>
      <c r="B139" s="752"/>
      <c r="C139" s="757" t="s">
        <v>535</v>
      </c>
      <c r="D139" s="758">
        <v>0.28000000000000003</v>
      </c>
      <c r="E139" s="753"/>
      <c r="F139" s="753"/>
      <c r="G139" s="754">
        <f t="shared" si="6"/>
        <v>0</v>
      </c>
      <c r="H139" s="144">
        <f>IF(C139="",0,IF('Data Entry'!$I$17="Yes",0,VLOOKUP(C139,'Data Entry'!$F$65:$G$71,2,FALSE)))</f>
        <v>0</v>
      </c>
      <c r="I139" s="173">
        <f t="shared" si="4"/>
        <v>0</v>
      </c>
      <c r="J139" s="191">
        <f t="shared" si="5"/>
        <v>0</v>
      </c>
    </row>
    <row r="140" spans="1:10">
      <c r="A140" s="108">
        <v>62</v>
      </c>
      <c r="B140" s="752"/>
      <c r="C140" s="757" t="s">
        <v>535</v>
      </c>
      <c r="D140" s="758">
        <v>0.28000000000000003</v>
      </c>
      <c r="E140" s="753"/>
      <c r="F140" s="753"/>
      <c r="G140" s="754">
        <f t="shared" si="6"/>
        <v>0</v>
      </c>
      <c r="H140" s="144">
        <f>IF(C140="",0,IF('Data Entry'!$I$17="Yes",0,VLOOKUP(C140,'Data Entry'!$F$65:$G$71,2,FALSE)))</f>
        <v>0</v>
      </c>
      <c r="I140" s="173">
        <f t="shared" si="4"/>
        <v>0</v>
      </c>
      <c r="J140" s="191">
        <f t="shared" si="5"/>
        <v>0</v>
      </c>
    </row>
    <row r="141" spans="1:10">
      <c r="A141" s="108">
        <v>63</v>
      </c>
      <c r="B141" s="752"/>
      <c r="C141" s="757" t="s">
        <v>535</v>
      </c>
      <c r="D141" s="758">
        <v>0.28000000000000003</v>
      </c>
      <c r="E141" s="753"/>
      <c r="F141" s="753"/>
      <c r="G141" s="754">
        <f t="shared" si="6"/>
        <v>0</v>
      </c>
      <c r="H141" s="144">
        <f>IF(C141="",0,IF('Data Entry'!$I$17="Yes",0,VLOOKUP(C141,'Data Entry'!$F$65:$G$71,2,FALSE)))</f>
        <v>0</v>
      </c>
      <c r="I141" s="173">
        <f t="shared" si="4"/>
        <v>0</v>
      </c>
      <c r="J141" s="191">
        <f t="shared" si="5"/>
        <v>0</v>
      </c>
    </row>
    <row r="142" spans="1:10">
      <c r="A142" s="108">
        <v>64</v>
      </c>
      <c r="B142" s="752"/>
      <c r="C142" s="757"/>
      <c r="D142" s="758"/>
      <c r="E142" s="753"/>
      <c r="F142" s="753"/>
      <c r="G142" s="754">
        <f t="shared" si="6"/>
        <v>0</v>
      </c>
      <c r="H142" s="144">
        <f>IF(C142="",0,IF('Data Entry'!$I$17="Yes",0,VLOOKUP(C142,'Data Entry'!$F$65:$G$71,2,FALSE)))</f>
        <v>0</v>
      </c>
      <c r="I142" s="173">
        <f t="shared" si="4"/>
        <v>0</v>
      </c>
      <c r="J142" s="191">
        <f t="shared" si="5"/>
        <v>0</v>
      </c>
    </row>
    <row r="143" spans="1:10">
      <c r="A143" s="108">
        <v>65</v>
      </c>
      <c r="B143" s="752"/>
      <c r="C143" s="757"/>
      <c r="D143" s="758"/>
      <c r="E143" s="753"/>
      <c r="F143" s="753"/>
      <c r="G143" s="754">
        <f t="shared" si="6"/>
        <v>0</v>
      </c>
      <c r="H143" s="144">
        <f>IF(C143="",0,IF('Data Entry'!$I$17="Yes",0,VLOOKUP(C143,'Data Entry'!$F$65:$G$71,2,FALSE)))</f>
        <v>0</v>
      </c>
      <c r="I143" s="173">
        <f t="shared" si="4"/>
        <v>0</v>
      </c>
      <c r="J143" s="191">
        <f t="shared" si="5"/>
        <v>0</v>
      </c>
    </row>
    <row r="144" spans="1:10">
      <c r="A144" s="108">
        <v>66</v>
      </c>
      <c r="B144" s="752"/>
      <c r="C144" s="757"/>
      <c r="D144" s="758"/>
      <c r="E144" s="753"/>
      <c r="F144" s="753"/>
      <c r="G144" s="754">
        <f t="shared" si="6"/>
        <v>0</v>
      </c>
      <c r="H144" s="144">
        <f>IF(C144="",0,IF('Data Entry'!$I$17="Yes",0,VLOOKUP(C144,'Data Entry'!$F$65:$G$71,2,FALSE)))</f>
        <v>0</v>
      </c>
      <c r="I144" s="173">
        <f t="shared" si="4"/>
        <v>0</v>
      </c>
      <c r="J144" s="191">
        <f t="shared" si="5"/>
        <v>0</v>
      </c>
    </row>
    <row r="145" spans="1:10">
      <c r="A145" s="108">
        <v>67</v>
      </c>
      <c r="B145" s="752"/>
      <c r="C145" s="757"/>
      <c r="D145" s="758"/>
      <c r="E145" s="753"/>
      <c r="F145" s="753"/>
      <c r="G145" s="754">
        <f t="shared" si="6"/>
        <v>0</v>
      </c>
      <c r="H145" s="144">
        <f>IF(C145="",0,IF('Data Entry'!$I$17="Yes",0,VLOOKUP(C145,'Data Entry'!$F$65:$G$71,2,FALSE)))</f>
        <v>0</v>
      </c>
      <c r="I145" s="173">
        <f t="shared" si="4"/>
        <v>0</v>
      </c>
      <c r="J145" s="191">
        <f t="shared" si="5"/>
        <v>0</v>
      </c>
    </row>
    <row r="146" spans="1:10">
      <c r="A146" s="108">
        <v>68</v>
      </c>
      <c r="B146" s="752"/>
      <c r="C146" s="757"/>
      <c r="D146" s="758"/>
      <c r="E146" s="753"/>
      <c r="F146" s="753"/>
      <c r="G146" s="754">
        <f t="shared" ref="G146:G178" si="7">F146</f>
        <v>0</v>
      </c>
      <c r="H146" s="144">
        <f>IF(C146="",0,IF('Data Entry'!$I$17="Yes",0,VLOOKUP(C146,'Data Entry'!$F$65:$G$71,2,FALSE)))</f>
        <v>0</v>
      </c>
      <c r="I146" s="173">
        <f t="shared" ref="I146:I178" si="8">IF(C146="",0,MIN(IF(E146&lt;&gt;"",E146,0),IF(F146&lt;&gt;"",F146,0),IF(G146&lt;"",G146,0))-(H146*MIN(IF(E146&lt;&gt;"",E146,0),IF(F146&lt;&gt;"",F146,0),IF(G146&lt;"",G146,0))/100))</f>
        <v>0</v>
      </c>
      <c r="J146" s="191">
        <f t="shared" ref="J146:J178" si="9">I146*D146</f>
        <v>0</v>
      </c>
    </row>
    <row r="147" spans="1:10">
      <c r="A147" s="108">
        <v>69</v>
      </c>
      <c r="B147" s="752"/>
      <c r="C147" s="757"/>
      <c r="D147" s="758"/>
      <c r="E147" s="753"/>
      <c r="F147" s="753"/>
      <c r="G147" s="754">
        <f t="shared" si="7"/>
        <v>0</v>
      </c>
      <c r="H147" s="144">
        <f>IF(C147="",0,IF('Data Entry'!$I$17="Yes",0,VLOOKUP(C147,'Data Entry'!$F$65:$G$71,2,FALSE)))</f>
        <v>0</v>
      </c>
      <c r="I147" s="173">
        <f t="shared" si="8"/>
        <v>0</v>
      </c>
      <c r="J147" s="191">
        <f t="shared" si="9"/>
        <v>0</v>
      </c>
    </row>
    <row r="148" spans="1:10">
      <c r="A148" s="108">
        <v>70</v>
      </c>
      <c r="B148" s="752"/>
      <c r="C148" s="757"/>
      <c r="D148" s="758"/>
      <c r="E148" s="753"/>
      <c r="F148" s="753"/>
      <c r="G148" s="754">
        <f t="shared" si="7"/>
        <v>0</v>
      </c>
      <c r="H148" s="144">
        <f>IF(C148="",0,IF('Data Entry'!$I$17="Yes",0,VLOOKUP(C148,'Data Entry'!$F$65:$G$71,2,FALSE)))</f>
        <v>0</v>
      </c>
      <c r="I148" s="173">
        <f t="shared" si="8"/>
        <v>0</v>
      </c>
      <c r="J148" s="191">
        <f t="shared" si="9"/>
        <v>0</v>
      </c>
    </row>
    <row r="149" spans="1:10">
      <c r="A149" s="108">
        <v>71</v>
      </c>
      <c r="B149" s="752"/>
      <c r="C149" s="757"/>
      <c r="D149" s="758"/>
      <c r="E149" s="753"/>
      <c r="F149" s="753"/>
      <c r="G149" s="754">
        <f t="shared" si="7"/>
        <v>0</v>
      </c>
      <c r="H149" s="144">
        <f>IF(C149="",0,IF('Data Entry'!$I$17="Yes",0,VLOOKUP(C149,'Data Entry'!$F$65:$G$71,2,FALSE)))</f>
        <v>0</v>
      </c>
      <c r="I149" s="173">
        <f t="shared" si="8"/>
        <v>0</v>
      </c>
      <c r="J149" s="191">
        <f t="shared" si="9"/>
        <v>0</v>
      </c>
    </row>
    <row r="150" spans="1:10">
      <c r="A150" s="108">
        <v>72</v>
      </c>
      <c r="B150" s="752"/>
      <c r="C150" s="757"/>
      <c r="D150" s="758"/>
      <c r="E150" s="753"/>
      <c r="F150" s="753"/>
      <c r="G150" s="754">
        <f t="shared" si="7"/>
        <v>0</v>
      </c>
      <c r="H150" s="144">
        <f>IF(C150="",0,IF('Data Entry'!$I$17="Yes",0,VLOOKUP(C150,'Data Entry'!$F$65:$G$71,2,FALSE)))</f>
        <v>0</v>
      </c>
      <c r="I150" s="173">
        <f t="shared" si="8"/>
        <v>0</v>
      </c>
      <c r="J150" s="191">
        <f t="shared" si="9"/>
        <v>0</v>
      </c>
    </row>
    <row r="151" spans="1:10">
      <c r="A151" s="108">
        <v>73</v>
      </c>
      <c r="B151" s="752"/>
      <c r="C151" s="757"/>
      <c r="D151" s="758"/>
      <c r="E151" s="753"/>
      <c r="F151" s="753"/>
      <c r="G151" s="754">
        <f t="shared" si="7"/>
        <v>0</v>
      </c>
      <c r="H151" s="144">
        <f>IF(C151="",0,IF('Data Entry'!$I$17="Yes",0,VLOOKUP(C151,'Data Entry'!$F$65:$G$71,2,FALSE)))</f>
        <v>0</v>
      </c>
      <c r="I151" s="173">
        <f t="shared" si="8"/>
        <v>0</v>
      </c>
      <c r="J151" s="191">
        <f t="shared" si="9"/>
        <v>0</v>
      </c>
    </row>
    <row r="152" spans="1:10">
      <c r="A152" s="108">
        <v>74</v>
      </c>
      <c r="B152" s="752"/>
      <c r="C152" s="757"/>
      <c r="D152" s="758"/>
      <c r="E152" s="753"/>
      <c r="F152" s="753"/>
      <c r="G152" s="754">
        <f t="shared" si="7"/>
        <v>0</v>
      </c>
      <c r="H152" s="144">
        <f>IF(C152="",0,IF('Data Entry'!$I$17="Yes",0,VLOOKUP(C152,'Data Entry'!$F$65:$G$71,2,FALSE)))</f>
        <v>0</v>
      </c>
      <c r="I152" s="173">
        <f t="shared" si="8"/>
        <v>0</v>
      </c>
      <c r="J152" s="191">
        <f t="shared" si="9"/>
        <v>0</v>
      </c>
    </row>
    <row r="153" spans="1:10">
      <c r="A153" s="108">
        <v>75</v>
      </c>
      <c r="B153" s="752"/>
      <c r="C153" s="757"/>
      <c r="D153" s="758"/>
      <c r="E153" s="753"/>
      <c r="F153" s="753"/>
      <c r="G153" s="754">
        <f t="shared" si="7"/>
        <v>0</v>
      </c>
      <c r="H153" s="144">
        <f>IF(C153="",0,IF('Data Entry'!$I$17="Yes",0,VLOOKUP(C153,'Data Entry'!$F$65:$G$71,2,FALSE)))</f>
        <v>0</v>
      </c>
      <c r="I153" s="173">
        <f t="shared" si="8"/>
        <v>0</v>
      </c>
      <c r="J153" s="191">
        <f t="shared" si="9"/>
        <v>0</v>
      </c>
    </row>
    <row r="154" spans="1:10">
      <c r="A154" s="108">
        <v>76</v>
      </c>
      <c r="B154" s="752"/>
      <c r="C154" s="757"/>
      <c r="D154" s="758"/>
      <c r="E154" s="753"/>
      <c r="F154" s="753"/>
      <c r="G154" s="754">
        <f t="shared" si="7"/>
        <v>0</v>
      </c>
      <c r="H154" s="144">
        <f>IF(C154="",0,IF('Data Entry'!$I$17="Yes",0,VLOOKUP(C154,'Data Entry'!$F$65:$G$71,2,FALSE)))</f>
        <v>0</v>
      </c>
      <c r="I154" s="173">
        <f t="shared" si="8"/>
        <v>0</v>
      </c>
      <c r="J154" s="191">
        <f t="shared" si="9"/>
        <v>0</v>
      </c>
    </row>
    <row r="155" spans="1:10">
      <c r="A155" s="108">
        <v>77</v>
      </c>
      <c r="B155" s="752"/>
      <c r="C155" s="757"/>
      <c r="D155" s="758"/>
      <c r="E155" s="753"/>
      <c r="F155" s="753"/>
      <c r="G155" s="754">
        <f t="shared" si="7"/>
        <v>0</v>
      </c>
      <c r="H155" s="144">
        <f>IF(C155="",0,IF('Data Entry'!$I$17="Yes",0,VLOOKUP(C155,'Data Entry'!$F$65:$G$71,2,FALSE)))</f>
        <v>0</v>
      </c>
      <c r="I155" s="173">
        <f t="shared" si="8"/>
        <v>0</v>
      </c>
      <c r="J155" s="191">
        <f t="shared" si="9"/>
        <v>0</v>
      </c>
    </row>
    <row r="156" spans="1:10">
      <c r="A156" s="108">
        <v>78</v>
      </c>
      <c r="B156" s="752"/>
      <c r="C156" s="757"/>
      <c r="D156" s="758"/>
      <c r="E156" s="753"/>
      <c r="F156" s="753"/>
      <c r="G156" s="754">
        <f t="shared" si="7"/>
        <v>0</v>
      </c>
      <c r="H156" s="144">
        <f>IF(C156="",0,IF('Data Entry'!$I$17="Yes",0,VLOOKUP(C156,'Data Entry'!$F$65:$G$71,2,FALSE)))</f>
        <v>0</v>
      </c>
      <c r="I156" s="173">
        <f t="shared" si="8"/>
        <v>0</v>
      </c>
      <c r="J156" s="191">
        <f t="shared" si="9"/>
        <v>0</v>
      </c>
    </row>
    <row r="157" spans="1:10">
      <c r="A157" s="108">
        <v>79</v>
      </c>
      <c r="B157" s="752"/>
      <c r="C157" s="757"/>
      <c r="D157" s="758"/>
      <c r="E157" s="753"/>
      <c r="F157" s="753"/>
      <c r="G157" s="754">
        <f t="shared" si="7"/>
        <v>0</v>
      </c>
      <c r="H157" s="144">
        <f>IF(C157="",0,IF('Data Entry'!$I$17="Yes",0,VLOOKUP(C157,'Data Entry'!$F$65:$G$71,2,FALSE)))</f>
        <v>0</v>
      </c>
      <c r="I157" s="173">
        <f t="shared" si="8"/>
        <v>0</v>
      </c>
      <c r="J157" s="191">
        <f t="shared" si="9"/>
        <v>0</v>
      </c>
    </row>
    <row r="158" spans="1:10">
      <c r="A158" s="108">
        <v>80</v>
      </c>
      <c r="B158" s="752"/>
      <c r="C158" s="757"/>
      <c r="D158" s="758"/>
      <c r="E158" s="753"/>
      <c r="F158" s="753"/>
      <c r="G158" s="754">
        <f t="shared" si="7"/>
        <v>0</v>
      </c>
      <c r="H158" s="144">
        <f>IF(C158="",0,IF('Data Entry'!$I$17="Yes",0,VLOOKUP(C158,'Data Entry'!$F$65:$G$71,2,FALSE)))</f>
        <v>0</v>
      </c>
      <c r="I158" s="173">
        <f t="shared" si="8"/>
        <v>0</v>
      </c>
      <c r="J158" s="191">
        <f t="shared" si="9"/>
        <v>0</v>
      </c>
    </row>
    <row r="159" spans="1:10">
      <c r="A159" s="108">
        <v>81</v>
      </c>
      <c r="B159" s="752"/>
      <c r="C159" s="757"/>
      <c r="D159" s="758"/>
      <c r="E159" s="753"/>
      <c r="F159" s="753"/>
      <c r="G159" s="754">
        <f t="shared" si="7"/>
        <v>0</v>
      </c>
      <c r="H159" s="144">
        <f>IF(C159="",0,IF('Data Entry'!$I$17="Yes",0,VLOOKUP(C159,'Data Entry'!$F$65:$G$71,2,FALSE)))</f>
        <v>0</v>
      </c>
      <c r="I159" s="173">
        <f t="shared" si="8"/>
        <v>0</v>
      </c>
      <c r="J159" s="191">
        <f t="shared" si="9"/>
        <v>0</v>
      </c>
    </row>
    <row r="160" spans="1:10">
      <c r="A160" s="108">
        <v>82</v>
      </c>
      <c r="B160" s="752"/>
      <c r="C160" s="757"/>
      <c r="D160" s="758"/>
      <c r="E160" s="753"/>
      <c r="F160" s="753"/>
      <c r="G160" s="754">
        <f t="shared" si="7"/>
        <v>0</v>
      </c>
      <c r="H160" s="144">
        <f>IF(C160="",0,IF('Data Entry'!$I$17="Yes",0,VLOOKUP(C160,'Data Entry'!$F$65:$G$71,2,FALSE)))</f>
        <v>0</v>
      </c>
      <c r="I160" s="173">
        <f t="shared" si="8"/>
        <v>0</v>
      </c>
      <c r="J160" s="191">
        <f t="shared" si="9"/>
        <v>0</v>
      </c>
    </row>
    <row r="161" spans="1:10">
      <c r="A161" s="108">
        <v>83</v>
      </c>
      <c r="B161" s="752"/>
      <c r="C161" s="757"/>
      <c r="D161" s="758"/>
      <c r="E161" s="753"/>
      <c r="F161" s="753"/>
      <c r="G161" s="754">
        <f t="shared" si="7"/>
        <v>0</v>
      </c>
      <c r="H161" s="144">
        <f>IF(C161="",0,IF('Data Entry'!$I$17="Yes",0,VLOOKUP(C161,'Data Entry'!$F$65:$G$71,2,FALSE)))</f>
        <v>0</v>
      </c>
      <c r="I161" s="173">
        <f t="shared" si="8"/>
        <v>0</v>
      </c>
      <c r="J161" s="191">
        <f t="shared" si="9"/>
        <v>0</v>
      </c>
    </row>
    <row r="162" spans="1:10">
      <c r="A162" s="108">
        <v>84</v>
      </c>
      <c r="B162" s="752"/>
      <c r="C162" s="757"/>
      <c r="D162" s="758"/>
      <c r="E162" s="753"/>
      <c r="F162" s="753"/>
      <c r="G162" s="754">
        <f t="shared" si="7"/>
        <v>0</v>
      </c>
      <c r="H162" s="144">
        <f>IF(C162="",0,IF('Data Entry'!$I$17="Yes",0,VLOOKUP(C162,'Data Entry'!$F$65:$G$71,2,FALSE)))</f>
        <v>0</v>
      </c>
      <c r="I162" s="173">
        <f t="shared" si="8"/>
        <v>0</v>
      </c>
      <c r="J162" s="191">
        <f t="shared" si="9"/>
        <v>0</v>
      </c>
    </row>
    <row r="163" spans="1:10">
      <c r="A163" s="108">
        <v>85</v>
      </c>
      <c r="B163" s="752"/>
      <c r="C163" s="757"/>
      <c r="D163" s="758"/>
      <c r="E163" s="753"/>
      <c r="F163" s="753"/>
      <c r="G163" s="754">
        <f t="shared" si="7"/>
        <v>0</v>
      </c>
      <c r="H163" s="144">
        <f>IF(C163="",0,IF('Data Entry'!$I$17="Yes",0,VLOOKUP(C163,'Data Entry'!$F$65:$G$71,2,FALSE)))</f>
        <v>0</v>
      </c>
      <c r="I163" s="173">
        <f t="shared" si="8"/>
        <v>0</v>
      </c>
      <c r="J163" s="191">
        <f t="shared" si="9"/>
        <v>0</v>
      </c>
    </row>
    <row r="164" spans="1:10">
      <c r="A164" s="108">
        <v>86</v>
      </c>
      <c r="B164" s="752"/>
      <c r="C164" s="757"/>
      <c r="D164" s="758"/>
      <c r="E164" s="753"/>
      <c r="F164" s="753"/>
      <c r="G164" s="754">
        <f t="shared" si="7"/>
        <v>0</v>
      </c>
      <c r="H164" s="144">
        <f>IF(C164="",0,IF('Data Entry'!$I$17="Yes",0,VLOOKUP(C164,'Data Entry'!$F$65:$G$71,2,FALSE)))</f>
        <v>0</v>
      </c>
      <c r="I164" s="173">
        <f t="shared" si="8"/>
        <v>0</v>
      </c>
      <c r="J164" s="191">
        <f t="shared" si="9"/>
        <v>0</v>
      </c>
    </row>
    <row r="165" spans="1:10">
      <c r="A165" s="108">
        <v>87</v>
      </c>
      <c r="B165" s="752"/>
      <c r="C165" s="757"/>
      <c r="D165" s="758"/>
      <c r="E165" s="753"/>
      <c r="F165" s="753"/>
      <c r="G165" s="754">
        <f t="shared" si="7"/>
        <v>0</v>
      </c>
      <c r="H165" s="144">
        <f>IF(C165="",0,IF('Data Entry'!$I$17="Yes",0,VLOOKUP(C165,'Data Entry'!$F$65:$G$71,2,FALSE)))</f>
        <v>0</v>
      </c>
      <c r="I165" s="173">
        <f t="shared" si="8"/>
        <v>0</v>
      </c>
      <c r="J165" s="191">
        <f t="shared" si="9"/>
        <v>0</v>
      </c>
    </row>
    <row r="166" spans="1:10">
      <c r="A166" s="108">
        <v>88</v>
      </c>
      <c r="B166" s="752"/>
      <c r="C166" s="757"/>
      <c r="D166" s="758"/>
      <c r="E166" s="753"/>
      <c r="F166" s="753"/>
      <c r="G166" s="754">
        <f t="shared" si="7"/>
        <v>0</v>
      </c>
      <c r="H166" s="144">
        <f>IF(C166="",0,IF('Data Entry'!$I$17="Yes",0,VLOOKUP(C166,'Data Entry'!$F$65:$G$71,2,FALSE)))</f>
        <v>0</v>
      </c>
      <c r="I166" s="173">
        <f t="shared" si="8"/>
        <v>0</v>
      </c>
      <c r="J166" s="191">
        <f t="shared" si="9"/>
        <v>0</v>
      </c>
    </row>
    <row r="167" spans="1:10">
      <c r="A167" s="108">
        <v>89</v>
      </c>
      <c r="B167" s="752"/>
      <c r="C167" s="757"/>
      <c r="D167" s="758"/>
      <c r="E167" s="753"/>
      <c r="F167" s="753"/>
      <c r="G167" s="754">
        <f t="shared" si="7"/>
        <v>0</v>
      </c>
      <c r="H167" s="144">
        <f>IF(C167="",0,IF('Data Entry'!$I$17="Yes",0,VLOOKUP(C167,'Data Entry'!$F$65:$G$71,2,FALSE)))</f>
        <v>0</v>
      </c>
      <c r="I167" s="173">
        <f t="shared" si="8"/>
        <v>0</v>
      </c>
      <c r="J167" s="191">
        <f t="shared" si="9"/>
        <v>0</v>
      </c>
    </row>
    <row r="168" spans="1:10">
      <c r="A168" s="108">
        <v>90</v>
      </c>
      <c r="B168" s="752"/>
      <c r="C168" s="757"/>
      <c r="D168" s="758"/>
      <c r="E168" s="753"/>
      <c r="F168" s="753"/>
      <c r="G168" s="754">
        <f t="shared" si="7"/>
        <v>0</v>
      </c>
      <c r="H168" s="144">
        <f>IF(C168="",0,IF('Data Entry'!$I$17="Yes",0,VLOOKUP(C168,'Data Entry'!$F$65:$G$71,2,FALSE)))</f>
        <v>0</v>
      </c>
      <c r="I168" s="173">
        <f t="shared" si="8"/>
        <v>0</v>
      </c>
      <c r="J168" s="191">
        <f t="shared" si="9"/>
        <v>0</v>
      </c>
    </row>
    <row r="169" spans="1:10">
      <c r="A169" s="108">
        <v>91</v>
      </c>
      <c r="B169" s="752"/>
      <c r="C169" s="757"/>
      <c r="D169" s="758"/>
      <c r="E169" s="753"/>
      <c r="F169" s="753"/>
      <c r="G169" s="754">
        <f t="shared" si="7"/>
        <v>0</v>
      </c>
      <c r="H169" s="144">
        <f>IF(C169="",0,IF('Data Entry'!$I$17="Yes",0,VLOOKUP(C169,'Data Entry'!$F$65:$G$71,2,FALSE)))</f>
        <v>0</v>
      </c>
      <c r="I169" s="173">
        <f t="shared" si="8"/>
        <v>0</v>
      </c>
      <c r="J169" s="191">
        <f t="shared" si="9"/>
        <v>0</v>
      </c>
    </row>
    <row r="170" spans="1:10">
      <c r="A170" s="108">
        <v>92</v>
      </c>
      <c r="B170" s="752"/>
      <c r="C170" s="757"/>
      <c r="D170" s="758"/>
      <c r="E170" s="753"/>
      <c r="F170" s="753"/>
      <c r="G170" s="754">
        <f t="shared" si="7"/>
        <v>0</v>
      </c>
      <c r="H170" s="144">
        <f>IF(C170="",0,IF('Data Entry'!$I$17="Yes",0,VLOOKUP(C170,'Data Entry'!$F$65:$G$71,2,FALSE)))</f>
        <v>0</v>
      </c>
      <c r="I170" s="173">
        <f t="shared" si="8"/>
        <v>0</v>
      </c>
      <c r="J170" s="191">
        <f t="shared" si="9"/>
        <v>0</v>
      </c>
    </row>
    <row r="171" spans="1:10">
      <c r="A171" s="108">
        <v>93</v>
      </c>
      <c r="B171" s="752"/>
      <c r="C171" s="757"/>
      <c r="D171" s="758"/>
      <c r="E171" s="753"/>
      <c r="F171" s="753"/>
      <c r="G171" s="754">
        <f t="shared" si="7"/>
        <v>0</v>
      </c>
      <c r="H171" s="144">
        <f>IF(C171="",0,IF('Data Entry'!$I$17="Yes",0,VLOOKUP(C171,'Data Entry'!$F$65:$G$71,2,FALSE)))</f>
        <v>0</v>
      </c>
      <c r="I171" s="173">
        <f t="shared" si="8"/>
        <v>0</v>
      </c>
      <c r="J171" s="191">
        <f t="shared" si="9"/>
        <v>0</v>
      </c>
    </row>
    <row r="172" spans="1:10">
      <c r="A172" s="108">
        <v>94</v>
      </c>
      <c r="B172" s="752"/>
      <c r="C172" s="757"/>
      <c r="D172" s="758"/>
      <c r="E172" s="753"/>
      <c r="F172" s="753"/>
      <c r="G172" s="754">
        <f t="shared" si="7"/>
        <v>0</v>
      </c>
      <c r="H172" s="144">
        <f>IF(C172="",0,IF('Data Entry'!$I$17="Yes",0,VLOOKUP(C172,'Data Entry'!$F$65:$G$71,2,FALSE)))</f>
        <v>0</v>
      </c>
      <c r="I172" s="173">
        <f t="shared" si="8"/>
        <v>0</v>
      </c>
      <c r="J172" s="191">
        <f t="shared" si="9"/>
        <v>0</v>
      </c>
    </row>
    <row r="173" spans="1:10">
      <c r="A173" s="108">
        <v>95</v>
      </c>
      <c r="B173" s="752"/>
      <c r="C173" s="757"/>
      <c r="D173" s="758"/>
      <c r="E173" s="753"/>
      <c r="F173" s="753"/>
      <c r="G173" s="754">
        <f t="shared" si="7"/>
        <v>0</v>
      </c>
      <c r="H173" s="144">
        <f>IF(C173="",0,IF('Data Entry'!$I$17="Yes",0,VLOOKUP(C173,'Data Entry'!$F$65:$G$71,2,FALSE)))</f>
        <v>0</v>
      </c>
      <c r="I173" s="173">
        <f t="shared" si="8"/>
        <v>0</v>
      </c>
      <c r="J173" s="191">
        <f t="shared" si="9"/>
        <v>0</v>
      </c>
    </row>
    <row r="174" spans="1:10">
      <c r="A174" s="108">
        <v>96</v>
      </c>
      <c r="B174" s="752"/>
      <c r="C174" s="757"/>
      <c r="D174" s="758"/>
      <c r="E174" s="753"/>
      <c r="F174" s="753"/>
      <c r="G174" s="754">
        <f t="shared" si="7"/>
        <v>0</v>
      </c>
      <c r="H174" s="144">
        <f>IF(C174="",0,IF('Data Entry'!$I$17="Yes",0,VLOOKUP(C174,'Data Entry'!$F$65:$G$71,2,FALSE)))</f>
        <v>0</v>
      </c>
      <c r="I174" s="173">
        <f t="shared" si="8"/>
        <v>0</v>
      </c>
      <c r="J174" s="191">
        <f t="shared" si="9"/>
        <v>0</v>
      </c>
    </row>
    <row r="175" spans="1:10">
      <c r="A175" s="108">
        <v>97</v>
      </c>
      <c r="B175" s="752"/>
      <c r="C175" s="757"/>
      <c r="D175" s="758"/>
      <c r="E175" s="753"/>
      <c r="F175" s="753"/>
      <c r="G175" s="754">
        <f t="shared" si="7"/>
        <v>0</v>
      </c>
      <c r="H175" s="144">
        <f>IF(C175="",0,IF('Data Entry'!$I$17="Yes",0,VLOOKUP(C175,'Data Entry'!$F$65:$G$71,2,FALSE)))</f>
        <v>0</v>
      </c>
      <c r="I175" s="173">
        <f t="shared" si="8"/>
        <v>0</v>
      </c>
      <c r="J175" s="191">
        <f t="shared" si="9"/>
        <v>0</v>
      </c>
    </row>
    <row r="176" spans="1:10">
      <c r="A176" s="108">
        <v>98</v>
      </c>
      <c r="B176" s="752"/>
      <c r="C176" s="757"/>
      <c r="D176" s="758"/>
      <c r="E176" s="753"/>
      <c r="F176" s="753"/>
      <c r="G176" s="754">
        <f t="shared" si="7"/>
        <v>0</v>
      </c>
      <c r="H176" s="144">
        <f>IF(C176="",0,IF('Data Entry'!$I$17="Yes",0,VLOOKUP(C176,'Data Entry'!$F$65:$G$71,2,FALSE)))</f>
        <v>0</v>
      </c>
      <c r="I176" s="173">
        <f t="shared" si="8"/>
        <v>0</v>
      </c>
      <c r="J176" s="191">
        <f t="shared" si="9"/>
        <v>0</v>
      </c>
    </row>
    <row r="177" spans="1:10">
      <c r="A177" s="108">
        <v>99</v>
      </c>
      <c r="B177" s="752"/>
      <c r="C177" s="757"/>
      <c r="D177" s="758"/>
      <c r="E177" s="753"/>
      <c r="F177" s="753"/>
      <c r="G177" s="754">
        <f t="shared" si="7"/>
        <v>0</v>
      </c>
      <c r="H177" s="144">
        <f>IF(C177="",0,IF('Data Entry'!$I$17="Yes",0,VLOOKUP(C177,'Data Entry'!$F$65:$G$71,2,FALSE)))</f>
        <v>0</v>
      </c>
      <c r="I177" s="173">
        <f t="shared" si="8"/>
        <v>0</v>
      </c>
      <c r="J177" s="191">
        <f t="shared" si="9"/>
        <v>0</v>
      </c>
    </row>
    <row r="178" spans="1:10">
      <c r="A178" s="108">
        <v>100</v>
      </c>
      <c r="B178" s="752"/>
      <c r="C178" s="757"/>
      <c r="D178" s="758"/>
      <c r="E178" s="753"/>
      <c r="F178" s="753"/>
      <c r="G178" s="754">
        <f t="shared" si="7"/>
        <v>0</v>
      </c>
      <c r="H178" s="144">
        <f>IF(C178="",0,IF('Data Entry'!$I$17="Yes",0,VLOOKUP(C178,'Data Entry'!$F$65:$G$71,2,FALSE)))</f>
        <v>0</v>
      </c>
      <c r="I178" s="173">
        <f t="shared" si="8"/>
        <v>0</v>
      </c>
      <c r="J178" s="191">
        <f t="shared" si="9"/>
        <v>0</v>
      </c>
    </row>
    <row r="179" spans="1:10" s="87" customFormat="1" ht="12" customHeight="1">
      <c r="A179" s="1516" t="s">
        <v>23</v>
      </c>
      <c r="B179" s="1517"/>
      <c r="C179" s="1517"/>
      <c r="D179" s="1518"/>
      <c r="E179" s="174">
        <f>SUM(E79:E178)</f>
        <v>0</v>
      </c>
      <c r="F179" s="174">
        <f>SUM(F79:F178)</f>
        <v>0</v>
      </c>
      <c r="G179" s="174">
        <f>SUM(G81:G178)+MAX(G79,G80)</f>
        <v>0</v>
      </c>
      <c r="H179" s="145"/>
      <c r="I179" s="262">
        <f>SUM(I81:I178)+IF(G71="Yes",I79,I80)</f>
        <v>0</v>
      </c>
      <c r="J179" s="262">
        <f>SUM(J81:J178)+IF(G71="Yes",J79,J80)</f>
        <v>0</v>
      </c>
    </row>
    <row r="180" spans="1:10" s="87" customFormat="1" ht="12" customHeight="1">
      <c r="A180" s="1516" t="s">
        <v>648</v>
      </c>
      <c r="B180" s="1517"/>
      <c r="C180" s="1517"/>
      <c r="D180" s="1517"/>
      <c r="E180" s="1517"/>
      <c r="F180" s="1517"/>
      <c r="G180" s="1517"/>
      <c r="H180" s="1518"/>
      <c r="I180" s="1519">
        <f>I179</f>
        <v>0</v>
      </c>
      <c r="J180" s="1520"/>
    </row>
    <row r="181" spans="1:10" s="87" customFormat="1" ht="12" customHeight="1">
      <c r="A181" s="1516" t="s">
        <v>649</v>
      </c>
      <c r="B181" s="1517"/>
      <c r="C181" s="1517"/>
      <c r="D181" s="1517"/>
      <c r="E181" s="1517"/>
      <c r="F181" s="1517"/>
      <c r="G181" s="1517"/>
      <c r="H181" s="1518"/>
      <c r="I181" s="1521">
        <f>SUM(I81:I178)</f>
        <v>0</v>
      </c>
      <c r="J181" s="1522"/>
    </row>
    <row r="182" spans="1:10" s="87" customFormat="1" ht="12" customHeight="1">
      <c r="A182" s="98"/>
      <c r="B182" s="98"/>
      <c r="C182" s="98"/>
      <c r="D182" s="98"/>
      <c r="E182" s="98"/>
      <c r="F182" s="98"/>
      <c r="G182" s="98"/>
      <c r="H182" s="98"/>
      <c r="I182" s="578"/>
      <c r="J182" s="578"/>
    </row>
    <row r="183" spans="1:10" s="87" customFormat="1" ht="15.75" customHeight="1">
      <c r="A183" s="1468" t="s">
        <v>214</v>
      </c>
      <c r="B183" s="1469"/>
      <c r="C183" s="1469"/>
      <c r="D183" s="1469"/>
      <c r="E183" s="1470"/>
      <c r="F183" s="1471">
        <f>ROUND(SUMIF(C81:C178,"METAL",I81:I178),0)</f>
        <v>0</v>
      </c>
      <c r="G183" s="1472"/>
      <c r="H183" s="1473"/>
      <c r="J183" s="97"/>
    </row>
    <row r="184" spans="1:10" s="87" customFormat="1" ht="17.25" customHeight="1">
      <c r="A184" s="1468" t="s">
        <v>215</v>
      </c>
      <c r="B184" s="1469"/>
      <c r="C184" s="1469"/>
      <c r="D184" s="1469"/>
      <c r="E184" s="1470"/>
      <c r="F184" s="1471">
        <f>ROUND((I179-F183-F185),0)</f>
        <v>0</v>
      </c>
      <c r="G184" s="1472"/>
      <c r="H184" s="1473"/>
    </row>
    <row r="185" spans="1:10" s="87" customFormat="1" ht="15.75" customHeight="1">
      <c r="A185" s="1468" t="s">
        <v>249</v>
      </c>
      <c r="B185" s="1469"/>
      <c r="C185" s="1469"/>
      <c r="D185" s="1469"/>
      <c r="E185" s="1470"/>
      <c r="F185" s="1471">
        <f>ROUND(SUMIF(C81:C178,"GLASS",I81:I178),0)</f>
        <v>0</v>
      </c>
      <c r="G185" s="1472"/>
      <c r="H185" s="1473"/>
      <c r="J185" s="97"/>
    </row>
    <row r="186" spans="1:10" s="87" customFormat="1" ht="12" customHeight="1">
      <c r="A186" s="98"/>
      <c r="B186" s="98"/>
      <c r="C186" s="98"/>
      <c r="D186" s="98"/>
      <c r="E186" s="98"/>
      <c r="F186" s="98"/>
      <c r="G186" s="98"/>
      <c r="H186" s="98"/>
      <c r="I186" s="578"/>
      <c r="J186" s="578"/>
    </row>
    <row r="187" spans="1:10" ht="12.75" customHeight="1">
      <c r="A187" s="1274" t="s">
        <v>181</v>
      </c>
      <c r="B187" s="1274"/>
      <c r="C187" s="1274"/>
      <c r="D187" s="1274"/>
      <c r="E187" s="1274"/>
      <c r="F187" s="1274"/>
      <c r="G187" s="1274"/>
      <c r="H187" s="1274"/>
      <c r="I187" s="1274"/>
    </row>
    <row r="189" spans="1:10" ht="12.75" hidden="1" customHeight="1"/>
    <row r="190" spans="1:10" ht="12.75" hidden="1" customHeight="1">
      <c r="G190" s="580" t="s">
        <v>639</v>
      </c>
      <c r="H190" s="580" t="s">
        <v>704</v>
      </c>
    </row>
    <row r="191" spans="1:10" ht="12.75" hidden="1" customHeight="1">
      <c r="G191" s="539">
        <f>'Data Entry'!A77</f>
        <v>0</v>
      </c>
      <c r="H191" s="108">
        <f>ROUND(SUMIF(D80:D178,G191,I80:I178),0)</f>
        <v>0</v>
      </c>
    </row>
    <row r="192" spans="1:10" ht="12.75" hidden="1" customHeight="1">
      <c r="G192" s="539">
        <f>'Data Entry'!A78</f>
        <v>0.05</v>
      </c>
      <c r="H192" s="108">
        <f>ROUND(SUMIF(D80:D178,G192,I80:I178),0)</f>
        <v>0</v>
      </c>
    </row>
    <row r="193" spans="7:8" ht="12.75" hidden="1" customHeight="1">
      <c r="G193" s="539">
        <f>'Data Entry'!A79</f>
        <v>0.12</v>
      </c>
      <c r="H193" s="108">
        <f>ROUND(SUMIF(D80:D178,G193,I80:I178),0)</f>
        <v>0</v>
      </c>
    </row>
    <row r="194" spans="7:8" ht="12.75" hidden="1" customHeight="1">
      <c r="G194" s="539">
        <f>'Data Entry'!A80</f>
        <v>0.18</v>
      </c>
      <c r="H194" s="108">
        <f>ROUND(SUMIF(D80:D178,G194,I80:I178),0)</f>
        <v>0</v>
      </c>
    </row>
    <row r="195" spans="7:8" ht="12.75" hidden="1" customHeight="1">
      <c r="G195" s="539">
        <f>'Data Entry'!A81</f>
        <v>0.28000000000000003</v>
      </c>
      <c r="H195" s="108">
        <f>ROUND(SUMIF(D80:D178,G195,I80:I178),0)</f>
        <v>0</v>
      </c>
    </row>
    <row r="196" spans="7:8" ht="12.75" hidden="1" customHeight="1">
      <c r="G196" s="579"/>
      <c r="H196" s="90">
        <f>SUM(H191:H195)</f>
        <v>0</v>
      </c>
    </row>
    <row r="197" spans="7:8" ht="12.75" hidden="1" customHeight="1"/>
    <row r="198" spans="7:8" ht="12.75" hidden="1" customHeight="1">
      <c r="G198" s="580" t="s">
        <v>714</v>
      </c>
      <c r="H198" s="580" t="s">
        <v>704</v>
      </c>
    </row>
    <row r="199" spans="7:8" ht="12.75" hidden="1" customHeight="1">
      <c r="G199" s="539">
        <f>'Data Entry'!B77</f>
        <v>0.18</v>
      </c>
      <c r="H199" s="581">
        <f>ROUND(I41+G72+I79,0)</f>
        <v>0</v>
      </c>
    </row>
    <row r="200" spans="7:8" ht="12.75" hidden="1" customHeight="1"/>
    <row r="201" spans="7:8" ht="12.75" hidden="1" customHeight="1"/>
  </sheetData>
  <sheetProtection sheet="1" objects="1" scenarios="1" formatColumns="0" formatRows="0" deleteRows="0" selectLockedCells="1"/>
  <dataConsolidate link="1"/>
  <customSheetViews>
    <customSheetView guid="{90D8D907-8142-40B5-8083-592E26272F1C}">
      <selection activeCell="I1" sqref="I1"/>
      <pageMargins left="0.45275590551181105" right="0" top="0.74803149606299213" bottom="0.74803149606299213" header="0.31496062992125984" footer="0.31496062992125984"/>
      <pageSetup orientation="portrait" r:id="rId1"/>
    </customSheetView>
  </customSheetViews>
  <mergeCells count="103">
    <mergeCell ref="B55:C55"/>
    <mergeCell ref="B25:C25"/>
    <mergeCell ref="B26:C26"/>
    <mergeCell ref="B27:C27"/>
    <mergeCell ref="B28:C28"/>
    <mergeCell ref="B29:C29"/>
    <mergeCell ref="B20:C20"/>
    <mergeCell ref="B21:C21"/>
    <mergeCell ref="B22:C22"/>
    <mergeCell ref="B23:C23"/>
    <mergeCell ref="B24:C24"/>
    <mergeCell ref="B34:C34"/>
    <mergeCell ref="B53:C53"/>
    <mergeCell ref="B54:C54"/>
    <mergeCell ref="G73:H73"/>
    <mergeCell ref="B67:C67"/>
    <mergeCell ref="A70:E70"/>
    <mergeCell ref="A74:F74"/>
    <mergeCell ref="A73:F73"/>
    <mergeCell ref="A72:F72"/>
    <mergeCell ref="A71:F71"/>
    <mergeCell ref="G71:H71"/>
    <mergeCell ref="G72:H72"/>
    <mergeCell ref="A187:I187"/>
    <mergeCell ref="G74:H74"/>
    <mergeCell ref="A77:C77"/>
    <mergeCell ref="A179:D179"/>
    <mergeCell ref="I180:J180"/>
    <mergeCell ref="A180:H180"/>
    <mergeCell ref="A181:H181"/>
    <mergeCell ref="I181:J181"/>
    <mergeCell ref="E79:F79"/>
    <mergeCell ref="E80:F80"/>
    <mergeCell ref="A185:E185"/>
    <mergeCell ref="F185:H185"/>
    <mergeCell ref="B57:C57"/>
    <mergeCell ref="B58:C58"/>
    <mergeCell ref="B63:C63"/>
    <mergeCell ref="B56:C56"/>
    <mergeCell ref="B64:C64"/>
    <mergeCell ref="B65:C65"/>
    <mergeCell ref="B66:C66"/>
    <mergeCell ref="B69:C69"/>
    <mergeCell ref="B59:C59"/>
    <mergeCell ref="B60:C60"/>
    <mergeCell ref="B61:C61"/>
    <mergeCell ref="B62:C62"/>
    <mergeCell ref="B68:C68"/>
    <mergeCell ref="B11:C11"/>
    <mergeCell ref="A9:B9"/>
    <mergeCell ref="B15:C15"/>
    <mergeCell ref="B16:C16"/>
    <mergeCell ref="B52:C52"/>
    <mergeCell ref="B49:C49"/>
    <mergeCell ref="B50:C50"/>
    <mergeCell ref="B48:C48"/>
    <mergeCell ref="B37:C37"/>
    <mergeCell ref="B38:C38"/>
    <mergeCell ref="B46:C46"/>
    <mergeCell ref="B47:C47"/>
    <mergeCell ref="B51:C51"/>
    <mergeCell ref="B44:C44"/>
    <mergeCell ref="B45:C45"/>
    <mergeCell ref="A43:D43"/>
    <mergeCell ref="B17:C17"/>
    <mergeCell ref="B18:C18"/>
    <mergeCell ref="A1:J2"/>
    <mergeCell ref="H3:J3"/>
    <mergeCell ref="H4:J4"/>
    <mergeCell ref="H5:J5"/>
    <mergeCell ref="A3:B3"/>
    <mergeCell ref="A4:B4"/>
    <mergeCell ref="F3:G3"/>
    <mergeCell ref="F4:G4"/>
    <mergeCell ref="C3:E3"/>
    <mergeCell ref="C4:E4"/>
    <mergeCell ref="F5:G5"/>
    <mergeCell ref="C5:E5"/>
    <mergeCell ref="A5:B5"/>
    <mergeCell ref="K79:S79"/>
    <mergeCell ref="K80:S80"/>
    <mergeCell ref="A183:E183"/>
    <mergeCell ref="F183:H183"/>
    <mergeCell ref="A184:E184"/>
    <mergeCell ref="F184:H184"/>
    <mergeCell ref="C6:G6"/>
    <mergeCell ref="B32:C32"/>
    <mergeCell ref="B40:C40"/>
    <mergeCell ref="B39:C39"/>
    <mergeCell ref="B35:C35"/>
    <mergeCell ref="B36:C36"/>
    <mergeCell ref="A7:B7"/>
    <mergeCell ref="C7:G7"/>
    <mergeCell ref="B13:C13"/>
    <mergeCell ref="B14:C14"/>
    <mergeCell ref="A6:B6"/>
    <mergeCell ref="B10:C10"/>
    <mergeCell ref="B31:C31"/>
    <mergeCell ref="B30:C30"/>
    <mergeCell ref="B19:C19"/>
    <mergeCell ref="B12:C12"/>
    <mergeCell ref="A41:E41"/>
    <mergeCell ref="B33:C33"/>
  </mergeCells>
  <conditionalFormatting sqref="C80:J80">
    <cfRule type="expression" dxfId="9" priority="4">
      <formula>AND($G$71&lt;&gt;"No")</formula>
    </cfRule>
  </conditionalFormatting>
  <conditionalFormatting sqref="C79:J79">
    <cfRule type="expression" dxfId="8" priority="1">
      <formula>AND($G$71="No")</formula>
    </cfRule>
  </conditionalFormatting>
  <dataValidations count="4">
    <dataValidation type="textLength" allowBlank="1" showInputMessage="1" showErrorMessage="1" errorTitle="Please Use Next Line." error="Max Limit has been reached in this row." sqref="B45:B69 C45:C55 C57:C69">
      <formula1>0</formula1>
      <formula2>32</formula2>
    </dataValidation>
    <dataValidation type="list" errorStyle="information" allowBlank="1" sqref="D11:D40">
      <formula1>"O&amp;F,R&amp;R,Repair/Dent,Align,Others"</formula1>
    </dataValidation>
    <dataValidation type="list" allowBlank="1" showInputMessage="1" showErrorMessage="1" sqref="G71">
      <formula1>"Yes,No"</formula1>
    </dataValidation>
    <dataValidation type="custom" allowBlank="1" showInputMessage="1" showErrorMessage="1" errorTitle="For Segregated Basis" error="Painting is on Lumpsum Basis. You Can not enter amount.&#10;" sqref="G80">
      <formula1>AND(G71="No")</formula1>
    </dataValidation>
  </dataValidations>
  <printOptions horizontalCentered="1"/>
  <pageMargins left="0.4" right="0.28999999999999998" top="0.35" bottom="0.42" header="0.23622047244094499" footer="0.31496062992126"/>
  <pageSetup paperSize="9" scale="78" orientation="portrait" horizontalDpi="4294967295" verticalDpi="4294967295" r:id="rId2"/>
  <headerFooter>
    <oddFooter>&amp;LVer 4.1&amp;RFor National Insurance Use Only</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14:formula1>
            <xm:f>'Data Entry'!$A$77:$A$82</xm:f>
          </x14:formula1>
          <xm:sqref>D80:D178</xm:sqref>
        </x14:dataValidation>
        <x14:dataValidation type="list" allowBlank="1" showInputMessage="1" showErrorMessage="1">
          <x14:formula1>
            <xm:f>'Data Entry'!$F$65:$F$70</xm:f>
          </x14:formula1>
          <xm:sqref>C81:C178</xm:sqref>
        </x14:dataValidation>
      </x14:dataValidations>
    </ext>
  </extLst>
</worksheet>
</file>

<file path=xl/worksheets/sheet10.xml><?xml version="1.0" encoding="utf-8"?>
<worksheet xmlns="http://schemas.openxmlformats.org/spreadsheetml/2006/main" xmlns:r="http://schemas.openxmlformats.org/officeDocument/2006/relationships">
  <sheetPr>
    <pageSetUpPr fitToPage="1"/>
  </sheetPr>
  <dimension ref="A1:AE280"/>
  <sheetViews>
    <sheetView zoomScale="90" zoomScaleNormal="90" workbookViewId="0">
      <selection activeCell="C14" sqref="C14"/>
    </sheetView>
  </sheetViews>
  <sheetFormatPr defaultRowHeight="15"/>
  <cols>
    <col min="1" max="1" width="7.28515625" style="264" customWidth="1"/>
    <col min="2" max="2" width="23.42578125" style="264" customWidth="1"/>
    <col min="3" max="3" width="15.28515625" style="264" bestFit="1" customWidth="1"/>
    <col min="4" max="5" width="8.7109375" style="264" customWidth="1"/>
    <col min="6" max="6" width="14" style="264" customWidth="1"/>
    <col min="7" max="7" width="11.42578125" style="264" customWidth="1"/>
    <col min="8" max="8" width="11.85546875" style="264" customWidth="1"/>
    <col min="9" max="9" width="9.85546875" style="264" customWidth="1"/>
    <col min="10" max="17" width="9.140625" style="264"/>
    <col min="18" max="18" width="8.5703125" style="264" customWidth="1"/>
    <col min="19" max="25" width="9.140625" style="264"/>
    <col min="26" max="26" width="16.7109375" style="264" bestFit="1" customWidth="1"/>
    <col min="27" max="27" width="9.140625" style="264"/>
    <col min="28" max="28" width="16.7109375" style="264" bestFit="1" customWidth="1"/>
    <col min="29" max="29" width="9.140625" style="264"/>
    <col min="30" max="30" width="16.7109375" style="264" bestFit="1" customWidth="1"/>
    <col min="31" max="16384" width="9.140625" style="264"/>
  </cols>
  <sheetData>
    <row r="1" spans="1:9" ht="25.5" customHeight="1">
      <c r="A1" s="265"/>
      <c r="B1" s="263"/>
      <c r="C1" s="263"/>
      <c r="D1" s="1568" t="s">
        <v>795</v>
      </c>
      <c r="E1" s="1568"/>
      <c r="F1" s="1568"/>
      <c r="G1" s="1568"/>
      <c r="H1" s="1568"/>
      <c r="I1" s="1568"/>
    </row>
    <row r="2" spans="1:9" ht="25.5">
      <c r="A2" s="265"/>
      <c r="B2" s="263"/>
      <c r="C2" s="263"/>
      <c r="D2" s="1569" t="str">
        <f>'Instruction Sheet'!C21</f>
        <v>SAATH, Patna</v>
      </c>
      <c r="E2" s="1569"/>
      <c r="F2" s="1569"/>
      <c r="G2" s="1569"/>
      <c r="H2" s="1569"/>
      <c r="I2" s="1569"/>
    </row>
    <row r="3" spans="1:9" ht="21.75" thickBot="1">
      <c r="A3" s="1541"/>
      <c r="B3" s="1541"/>
      <c r="C3" s="266"/>
      <c r="D3" s="267"/>
      <c r="E3" s="267"/>
      <c r="F3" s="1546" t="s">
        <v>809</v>
      </c>
      <c r="G3" s="1546"/>
      <c r="H3" s="1546"/>
      <c r="I3" s="1546"/>
    </row>
    <row r="4" spans="1:9" ht="15" customHeight="1">
      <c r="A4" s="1570" t="s">
        <v>778</v>
      </c>
      <c r="B4" s="1571"/>
      <c r="C4" s="268" t="s">
        <v>779</v>
      </c>
      <c r="F4" s="1547" t="s">
        <v>736</v>
      </c>
      <c r="G4" s="1548"/>
      <c r="H4" s="1548"/>
      <c r="I4" s="1549"/>
    </row>
    <row r="5" spans="1:9" ht="15" customHeight="1" thickBot="1">
      <c r="A5" s="1542" t="s">
        <v>449</v>
      </c>
      <c r="B5" s="1543"/>
      <c r="C5" s="270" t="s">
        <v>486</v>
      </c>
      <c r="F5" s="1550"/>
      <c r="G5" s="1551"/>
      <c r="H5" s="1551"/>
      <c r="I5" s="1552"/>
    </row>
    <row r="6" spans="1:9" ht="15" customHeight="1">
      <c r="A6" s="1542" t="s">
        <v>429</v>
      </c>
      <c r="B6" s="1543"/>
      <c r="C6" s="270" t="s">
        <v>468</v>
      </c>
      <c r="F6" s="269" t="s">
        <v>425</v>
      </c>
      <c r="G6" s="1544" t="str">
        <f>'Data Entry'!B5</f>
        <v xml:space="preserve">Mr. </v>
      </c>
      <c r="H6" s="1544"/>
      <c r="I6" s="1545"/>
    </row>
    <row r="7" spans="1:9" ht="15" customHeight="1">
      <c r="A7" s="1542" t="s">
        <v>450</v>
      </c>
      <c r="B7" s="1543"/>
      <c r="C7" s="270" t="s">
        <v>480</v>
      </c>
      <c r="F7" s="271" t="s">
        <v>426</v>
      </c>
      <c r="G7" s="1553">
        <f>'Data Entry'!B4</f>
        <v>0</v>
      </c>
      <c r="H7" s="1554"/>
      <c r="I7" s="1555"/>
    </row>
    <row r="8" spans="1:9" ht="15.75">
      <c r="A8" s="1572" t="s">
        <v>798</v>
      </c>
      <c r="B8" s="1573"/>
      <c r="C8" s="270" t="s">
        <v>806</v>
      </c>
      <c r="F8" s="271" t="s">
        <v>446</v>
      </c>
      <c r="G8" s="1553">
        <f>'Data Entry'!B3</f>
        <v>0</v>
      </c>
      <c r="H8" s="1554"/>
      <c r="I8" s="1555"/>
    </row>
    <row r="9" spans="1:9" ht="15" customHeight="1">
      <c r="A9" s="1542" t="s">
        <v>451</v>
      </c>
      <c r="B9" s="1543"/>
      <c r="C9" s="272">
        <f>COUNTIF(C12:C25,"New")</f>
        <v>1</v>
      </c>
      <c r="F9" s="271" t="s">
        <v>452</v>
      </c>
      <c r="G9" s="1556">
        <f>'Data Entry'!B18</f>
        <v>0</v>
      </c>
      <c r="H9" s="1556"/>
      <c r="I9" s="1557"/>
    </row>
    <row r="10" spans="1:9" ht="15.75" customHeight="1" thickBot="1">
      <c r="A10" s="1558" t="s">
        <v>453</v>
      </c>
      <c r="B10" s="1559"/>
      <c r="C10" s="658">
        <f>COUNTIF(C12:C25,"Old")</f>
        <v>2</v>
      </c>
      <c r="F10" s="273" t="s">
        <v>126</v>
      </c>
      <c r="G10" s="1560" t="str">
        <f>'Data Entry'!B60</f>
        <v>Dilip Kumar Sinha</v>
      </c>
      <c r="H10" s="1560"/>
      <c r="I10" s="1561"/>
    </row>
    <row r="11" spans="1:9" s="277" customFormat="1" ht="45.75" thickBot="1">
      <c r="A11" s="275" t="s">
        <v>566</v>
      </c>
      <c r="B11" s="661" t="str">
        <f>B101</f>
        <v>Name of Scheduled Panels</v>
      </c>
      <c r="C11" s="275" t="str">
        <f>C101</f>
        <v>Panel Type</v>
      </c>
      <c r="D11" s="274" t="s">
        <v>796</v>
      </c>
      <c r="E11" s="275" t="s">
        <v>797</v>
      </c>
      <c r="F11" s="275" t="str">
        <f>H101</f>
        <v>Scheduled Rate</v>
      </c>
      <c r="G11" s="275" t="str">
        <f>I101</f>
        <v>Discounted Rate</v>
      </c>
      <c r="H11" s="275" t="str">
        <f>J101</f>
        <v>Painting (Labour)</v>
      </c>
      <c r="I11" s="276" t="str">
        <f>K101</f>
        <v>Paint Material</v>
      </c>
    </row>
    <row r="12" spans="1:9">
      <c r="A12" s="659" t="s">
        <v>828</v>
      </c>
      <c r="B12" s="662" t="s">
        <v>767</v>
      </c>
      <c r="C12" s="278" t="s">
        <v>482</v>
      </c>
      <c r="D12" s="279">
        <f t="shared" ref="D12:D25" si="0">IF(OR($B12="",$C12=""),"",G102)</f>
        <v>0</v>
      </c>
      <c r="E12" s="668">
        <v>0</v>
      </c>
      <c r="F12" s="280">
        <f t="shared" ref="F12:F17" si="1">IF(OR(B12="",C12="",B12=0,C12=0),"",IF(OR(B12="Select",C12="Select",$C$6="Select"),"",VLOOKUP(IF(B12="Qr. Panel","Fender",B12),$B$45:$X$54,$C$88,FALSE)))</f>
        <v>4029</v>
      </c>
      <c r="G12" s="280">
        <f>IF(OR($B12="",$C12=""),"",ROUND(F12*(100-IF($C$8="System",D12,E12))/100,0))</f>
        <v>4029</v>
      </c>
      <c r="H12" s="280">
        <f>IF(OR($B12="",$C12=""),"",ROUND(G12*0.75,0))</f>
        <v>3022</v>
      </c>
      <c r="I12" s="281">
        <f t="shared" ref="I12" si="2">IF(OR($B12="",$C12=""),"",G12-H12)</f>
        <v>1007</v>
      </c>
    </row>
    <row r="13" spans="1:9">
      <c r="A13" s="660" t="s">
        <v>829</v>
      </c>
      <c r="B13" s="662" t="s">
        <v>473</v>
      </c>
      <c r="C13" s="283" t="s">
        <v>484</v>
      </c>
      <c r="D13" s="284">
        <f t="shared" si="0"/>
        <v>20</v>
      </c>
      <c r="E13" s="669">
        <v>30</v>
      </c>
      <c r="F13" s="285">
        <f t="shared" si="1"/>
        <v>3258</v>
      </c>
      <c r="G13" s="285">
        <f t="shared" ref="G13:G25" si="3">IF(OR($B13="",$C13=""),"",ROUND(F13*(100-IF($C$8="System",D13,E13))/100,0))</f>
        <v>2606</v>
      </c>
      <c r="H13" s="285">
        <f t="shared" ref="H13:H25" si="4">IF(OR($B13="",$C13=""),"",ROUND(G13*0.75,0))</f>
        <v>1955</v>
      </c>
      <c r="I13" s="286">
        <f>IF(OR($B13="",$C13=""),"",G13-H13)</f>
        <v>651</v>
      </c>
    </row>
    <row r="14" spans="1:9">
      <c r="A14" s="660" t="s">
        <v>829</v>
      </c>
      <c r="B14" s="662" t="s">
        <v>770</v>
      </c>
      <c r="C14" s="283" t="s">
        <v>484</v>
      </c>
      <c r="D14" s="284">
        <f t="shared" si="0"/>
        <v>20</v>
      </c>
      <c r="E14" s="669">
        <v>30</v>
      </c>
      <c r="F14" s="285">
        <f t="shared" si="1"/>
        <v>4408</v>
      </c>
      <c r="G14" s="285">
        <f t="shared" si="3"/>
        <v>3526</v>
      </c>
      <c r="H14" s="285">
        <f t="shared" si="4"/>
        <v>2645</v>
      </c>
      <c r="I14" s="286">
        <f t="shared" ref="I14:I25" si="5">IF(OR($B14="",$C14=""),"",G14-H14)</f>
        <v>881</v>
      </c>
    </row>
    <row r="15" spans="1:9">
      <c r="A15" s="660"/>
      <c r="B15" s="662"/>
      <c r="C15" s="283"/>
      <c r="D15" s="284" t="str">
        <f t="shared" si="0"/>
        <v/>
      </c>
      <c r="E15" s="669">
        <v>85</v>
      </c>
      <c r="F15" s="285" t="str">
        <f t="shared" si="1"/>
        <v/>
      </c>
      <c r="G15" s="285" t="str">
        <f t="shared" si="3"/>
        <v/>
      </c>
      <c r="H15" s="285" t="str">
        <f t="shared" si="4"/>
        <v/>
      </c>
      <c r="I15" s="286" t="str">
        <f t="shared" si="5"/>
        <v/>
      </c>
    </row>
    <row r="16" spans="1:9">
      <c r="A16" s="660"/>
      <c r="B16" s="662"/>
      <c r="C16" s="283"/>
      <c r="D16" s="284" t="str">
        <f t="shared" si="0"/>
        <v/>
      </c>
      <c r="E16" s="669"/>
      <c r="F16" s="285" t="str">
        <f t="shared" si="1"/>
        <v/>
      </c>
      <c r="G16" s="285" t="str">
        <f t="shared" si="3"/>
        <v/>
      </c>
      <c r="H16" s="285" t="str">
        <f t="shared" si="4"/>
        <v/>
      </c>
      <c r="I16" s="286" t="str">
        <f t="shared" si="5"/>
        <v/>
      </c>
    </row>
    <row r="17" spans="1:9">
      <c r="A17" s="660"/>
      <c r="B17" s="662"/>
      <c r="C17" s="283"/>
      <c r="D17" s="284" t="str">
        <f t="shared" si="0"/>
        <v/>
      </c>
      <c r="E17" s="669"/>
      <c r="F17" s="285" t="str">
        <f t="shared" si="1"/>
        <v/>
      </c>
      <c r="G17" s="285" t="str">
        <f t="shared" si="3"/>
        <v/>
      </c>
      <c r="H17" s="285" t="str">
        <f t="shared" si="4"/>
        <v/>
      </c>
      <c r="I17" s="286" t="str">
        <f t="shared" si="5"/>
        <v/>
      </c>
    </row>
    <row r="18" spans="1:9">
      <c r="A18" s="660"/>
      <c r="B18" s="662"/>
      <c r="C18" s="283"/>
      <c r="D18" s="284" t="str">
        <f t="shared" si="0"/>
        <v/>
      </c>
      <c r="E18" s="669"/>
      <c r="F18" s="285" t="str">
        <f>IF(OR(B18="",C18="",B18=0,C18=0),"",IF(OR(B18="Select",C18="Select",$C$6="Select"),"",VLOOKUP(IF(B18="Qr. Panel","Fender",B18),$B$45:$X$54,$C$88,FALSE)))</f>
        <v/>
      </c>
      <c r="G18" s="285" t="str">
        <f t="shared" si="3"/>
        <v/>
      </c>
      <c r="H18" s="285" t="str">
        <f t="shared" si="4"/>
        <v/>
      </c>
      <c r="I18" s="286" t="str">
        <f t="shared" si="5"/>
        <v/>
      </c>
    </row>
    <row r="19" spans="1:9">
      <c r="A19" s="660"/>
      <c r="B19" s="662"/>
      <c r="C19" s="283"/>
      <c r="D19" s="284" t="str">
        <f t="shared" si="0"/>
        <v/>
      </c>
      <c r="E19" s="669"/>
      <c r="F19" s="285" t="str">
        <f t="shared" ref="F19:F25" si="6">IF(OR(B19="",C19="",B19=0,C19=0),"",IF(OR(B19="Select",C19="Select",$C$6="Select"),"",VLOOKUP(IF(B19="Qr. Panel","Fender",B19),$B$45:$X$54,$C$88,FALSE)))</f>
        <v/>
      </c>
      <c r="G19" s="285" t="str">
        <f t="shared" si="3"/>
        <v/>
      </c>
      <c r="H19" s="285" t="str">
        <f t="shared" si="4"/>
        <v/>
      </c>
      <c r="I19" s="286" t="str">
        <f t="shared" si="5"/>
        <v/>
      </c>
    </row>
    <row r="20" spans="1:9">
      <c r="A20" s="660"/>
      <c r="B20" s="662"/>
      <c r="C20" s="283"/>
      <c r="D20" s="284" t="str">
        <f t="shared" si="0"/>
        <v/>
      </c>
      <c r="E20" s="669"/>
      <c r="F20" s="285" t="str">
        <f t="shared" si="6"/>
        <v/>
      </c>
      <c r="G20" s="285" t="str">
        <f t="shared" si="3"/>
        <v/>
      </c>
      <c r="H20" s="285" t="str">
        <f t="shared" si="4"/>
        <v/>
      </c>
      <c r="I20" s="286" t="str">
        <f t="shared" si="5"/>
        <v/>
      </c>
    </row>
    <row r="21" spans="1:9">
      <c r="A21" s="660"/>
      <c r="B21" s="662"/>
      <c r="C21" s="283"/>
      <c r="D21" s="284" t="str">
        <f t="shared" si="0"/>
        <v/>
      </c>
      <c r="E21" s="669"/>
      <c r="F21" s="285" t="str">
        <f t="shared" si="6"/>
        <v/>
      </c>
      <c r="G21" s="285" t="str">
        <f t="shared" si="3"/>
        <v/>
      </c>
      <c r="H21" s="285" t="str">
        <f t="shared" si="4"/>
        <v/>
      </c>
      <c r="I21" s="286" t="str">
        <f t="shared" si="5"/>
        <v/>
      </c>
    </row>
    <row r="22" spans="1:9">
      <c r="A22" s="660"/>
      <c r="B22" s="662"/>
      <c r="C22" s="283"/>
      <c r="D22" s="284" t="str">
        <f t="shared" si="0"/>
        <v/>
      </c>
      <c r="E22" s="669"/>
      <c r="F22" s="285" t="str">
        <f t="shared" si="6"/>
        <v/>
      </c>
      <c r="G22" s="285" t="str">
        <f t="shared" si="3"/>
        <v/>
      </c>
      <c r="H22" s="285" t="str">
        <f t="shared" si="4"/>
        <v/>
      </c>
      <c r="I22" s="286" t="str">
        <f t="shared" si="5"/>
        <v/>
      </c>
    </row>
    <row r="23" spans="1:9">
      <c r="A23" s="660"/>
      <c r="B23" s="662"/>
      <c r="C23" s="283"/>
      <c r="D23" s="284" t="str">
        <f t="shared" si="0"/>
        <v/>
      </c>
      <c r="E23" s="669"/>
      <c r="F23" s="285" t="str">
        <f t="shared" si="6"/>
        <v/>
      </c>
      <c r="G23" s="285" t="str">
        <f t="shared" si="3"/>
        <v/>
      </c>
      <c r="H23" s="285" t="str">
        <f t="shared" si="4"/>
        <v/>
      </c>
      <c r="I23" s="286" t="str">
        <f t="shared" si="5"/>
        <v/>
      </c>
    </row>
    <row r="24" spans="1:9">
      <c r="A24" s="660"/>
      <c r="B24" s="662"/>
      <c r="C24" s="283"/>
      <c r="D24" s="284" t="str">
        <f t="shared" si="0"/>
        <v/>
      </c>
      <c r="E24" s="669"/>
      <c r="F24" s="285" t="str">
        <f t="shared" si="6"/>
        <v/>
      </c>
      <c r="G24" s="285" t="str">
        <f t="shared" si="3"/>
        <v/>
      </c>
      <c r="H24" s="285" t="str">
        <f t="shared" si="4"/>
        <v/>
      </c>
      <c r="I24" s="286" t="str">
        <f t="shared" si="5"/>
        <v/>
      </c>
    </row>
    <row r="25" spans="1:9" ht="15.75" thickBot="1">
      <c r="A25" s="660"/>
      <c r="B25" s="662"/>
      <c r="C25" s="283"/>
      <c r="D25" s="284" t="str">
        <f t="shared" si="0"/>
        <v/>
      </c>
      <c r="E25" s="669"/>
      <c r="F25" s="285" t="str">
        <f t="shared" si="6"/>
        <v/>
      </c>
      <c r="G25" s="285" t="str">
        <f t="shared" si="3"/>
        <v/>
      </c>
      <c r="H25" s="285" t="str">
        <f t="shared" si="4"/>
        <v/>
      </c>
      <c r="I25" s="286" t="str">
        <f t="shared" si="5"/>
        <v/>
      </c>
    </row>
    <row r="26" spans="1:9" ht="15.75" thickBot="1">
      <c r="A26" s="274" t="s">
        <v>566</v>
      </c>
      <c r="B26" s="287" t="s">
        <v>454</v>
      </c>
      <c r="C26" s="1580" t="s">
        <v>455</v>
      </c>
      <c r="D26" s="1581"/>
      <c r="E26" s="663"/>
      <c r="F26" s="285"/>
      <c r="G26" s="285"/>
      <c r="H26" s="285"/>
      <c r="I26" s="286"/>
    </row>
    <row r="27" spans="1:9">
      <c r="A27" s="282"/>
      <c r="B27" s="282" t="s">
        <v>269</v>
      </c>
      <c r="C27" s="1562"/>
      <c r="D27" s="1563"/>
      <c r="E27" s="1564"/>
      <c r="F27" s="288"/>
      <c r="G27" s="285" t="str">
        <f>IF(F27&lt;&gt;"",I117,"")</f>
        <v/>
      </c>
      <c r="H27" s="285" t="str">
        <f>IF(F27&lt;&gt;"",J117,"")</f>
        <v/>
      </c>
      <c r="I27" s="286" t="str">
        <f>IF(F27&lt;&gt;"",K117,"")</f>
        <v/>
      </c>
    </row>
    <row r="28" spans="1:9">
      <c r="A28" s="282"/>
      <c r="B28" s="282" t="s">
        <v>269</v>
      </c>
      <c r="C28" s="1562"/>
      <c r="D28" s="1563"/>
      <c r="E28" s="1564"/>
      <c r="F28" s="288"/>
      <c r="G28" s="285" t="str">
        <f>IF(F28&lt;&gt;"",I118,"")</f>
        <v/>
      </c>
      <c r="H28" s="285" t="str">
        <f>IF(F28&lt;&gt;"",J118,"")</f>
        <v/>
      </c>
      <c r="I28" s="286" t="str">
        <f>IF(F28&lt;&gt;"",K118,"")</f>
        <v/>
      </c>
    </row>
    <row r="29" spans="1:9">
      <c r="A29" s="282"/>
      <c r="B29" s="282" t="s">
        <v>269</v>
      </c>
      <c r="C29" s="1562"/>
      <c r="D29" s="1563"/>
      <c r="E29" s="1564"/>
      <c r="F29" s="288"/>
      <c r="G29" s="285" t="str">
        <f>IF(F29&lt;&gt;"",I119,"")</f>
        <v/>
      </c>
      <c r="H29" s="285" t="str">
        <f>IF(F29&lt;&gt;"",J119,"")</f>
        <v/>
      </c>
      <c r="I29" s="286" t="str">
        <f>IF(F29&lt;&gt;"",K119,"")</f>
        <v/>
      </c>
    </row>
    <row r="30" spans="1:9">
      <c r="A30" s="282"/>
      <c r="B30" s="282" t="s">
        <v>269</v>
      </c>
      <c r="C30" s="1562"/>
      <c r="D30" s="1563"/>
      <c r="E30" s="1564"/>
      <c r="F30" s="288"/>
      <c r="G30" s="285" t="str">
        <f>IF(F30&lt;&gt;"",I120,"")</f>
        <v/>
      </c>
      <c r="H30" s="285" t="str">
        <f>IF(F30&lt;&gt;"",J120,"")</f>
        <v/>
      </c>
      <c r="I30" s="286" t="str">
        <f>IF(F30&lt;&gt;"",K120,"")</f>
        <v/>
      </c>
    </row>
    <row r="31" spans="1:9" ht="15.75" thickBot="1">
      <c r="A31" s="282"/>
      <c r="B31" s="289" t="s">
        <v>269</v>
      </c>
      <c r="C31" s="1565"/>
      <c r="D31" s="1566"/>
      <c r="E31" s="1567"/>
      <c r="F31" s="290"/>
      <c r="G31" s="291" t="str">
        <f>IF(F31&lt;&gt;"",I121,"")</f>
        <v/>
      </c>
      <c r="H31" s="291" t="str">
        <f>IF(F31&lt;&gt;"",J121,"")</f>
        <v/>
      </c>
      <c r="I31" s="292" t="str">
        <f>IF(F31&lt;&gt;"",K121,"")</f>
        <v/>
      </c>
    </row>
    <row r="32" spans="1:9" ht="16.5" thickBot="1">
      <c r="C32" s="1583" t="s">
        <v>456</v>
      </c>
      <c r="D32" s="1584"/>
      <c r="E32" s="1585"/>
      <c r="F32" s="293">
        <f>SUM(F12:F31)</f>
        <v>11695</v>
      </c>
      <c r="G32" s="294">
        <f>SUM(G12:G31)</f>
        <v>10161</v>
      </c>
      <c r="H32" s="295">
        <f>SUM(H12:H31)</f>
        <v>7622</v>
      </c>
      <c r="I32" s="293">
        <f>SUM(I12:I31)</f>
        <v>2539</v>
      </c>
    </row>
    <row r="33" spans="2:30">
      <c r="C33" s="296"/>
      <c r="D33" s="296"/>
      <c r="E33" s="296"/>
      <c r="F33" s="296"/>
      <c r="G33" s="296"/>
      <c r="H33" s="296"/>
    </row>
    <row r="34" spans="2:30" s="491" customFormat="1" ht="15.75">
      <c r="B34" s="488" t="s">
        <v>457</v>
      </c>
      <c r="C34" s="488" t="s">
        <v>458</v>
      </c>
      <c r="D34" s="488"/>
      <c r="E34" s="488"/>
      <c r="F34" s="488"/>
      <c r="G34" s="489">
        <v>45.65</v>
      </c>
      <c r="H34" s="490">
        <f>IF(G32=0,0,G32-I34)</f>
        <v>7604.6</v>
      </c>
      <c r="I34" s="490">
        <f>IF(G32=0,0,G34*(INT(I32/G34)+1))</f>
        <v>2556.4</v>
      </c>
    </row>
    <row r="35" spans="2:30">
      <c r="C35" s="296"/>
      <c r="D35" s="296"/>
      <c r="E35" s="296"/>
      <c r="F35" s="296"/>
      <c r="G35" s="296"/>
      <c r="H35" s="296"/>
    </row>
    <row r="36" spans="2:30">
      <c r="C36" s="296"/>
      <c r="D36" s="296"/>
      <c r="E36" s="296"/>
      <c r="F36" s="296"/>
      <c r="G36" s="296"/>
      <c r="H36" s="296"/>
    </row>
    <row r="37" spans="2:30">
      <c r="C37" s="296"/>
      <c r="D37" s="296"/>
      <c r="E37" s="296"/>
      <c r="F37" s="296"/>
      <c r="G37" s="296"/>
      <c r="H37" s="296"/>
    </row>
    <row r="38" spans="2:30">
      <c r="C38" s="296"/>
      <c r="D38" s="296"/>
      <c r="E38" s="296"/>
      <c r="F38" s="296"/>
      <c r="G38" s="296"/>
      <c r="H38" s="296"/>
    </row>
    <row r="39" spans="2:30" ht="15.75" thickBot="1"/>
    <row r="40" spans="2:30">
      <c r="G40" s="1548" t="s">
        <v>217</v>
      </c>
      <c r="H40" s="1548"/>
      <c r="I40" s="1548"/>
    </row>
    <row r="41" spans="2:30">
      <c r="G41" s="297"/>
      <c r="H41" s="297"/>
      <c r="I41" s="297"/>
    </row>
    <row r="42" spans="2:30" ht="15.75">
      <c r="B42" s="1582" t="s">
        <v>459</v>
      </c>
      <c r="C42" s="1582"/>
      <c r="D42" s="1582"/>
      <c r="E42" s="1582"/>
      <c r="F42" s="1582"/>
      <c r="G42" s="1582"/>
      <c r="H42" s="1582"/>
      <c r="I42" s="1582"/>
      <c r="J42" s="1582"/>
      <c r="K42" s="1582"/>
      <c r="L42" s="1582"/>
      <c r="M42" s="1582"/>
      <c r="N42" s="1582"/>
      <c r="O42" s="1582"/>
      <c r="P42" s="1582"/>
      <c r="Q42" s="1582"/>
      <c r="R42" s="1582"/>
      <c r="S42" s="1582"/>
      <c r="T42" s="1582"/>
      <c r="U42" s="1582"/>
      <c r="V42" s="1582"/>
      <c r="W42" s="1582"/>
      <c r="X42" s="1582"/>
    </row>
    <row r="43" spans="2:30" ht="15.75">
      <c r="B43" s="656" t="str">
        <f>VLOOKUP("Header"&amp;I72,A125:AE278,2,FALSE)&amp;" : "&amp;C7</f>
        <v>Panel wise Painting Charges -City Category "B" : Metallic</v>
      </c>
      <c r="C43" s="657"/>
      <c r="D43" s="657"/>
      <c r="E43" s="657"/>
      <c r="F43" s="657"/>
      <c r="G43" s="657"/>
      <c r="H43" s="657"/>
      <c r="I43" s="657"/>
      <c r="J43" s="657"/>
      <c r="K43" s="657"/>
      <c r="L43" s="657"/>
      <c r="M43" s="657"/>
      <c r="N43" s="657"/>
      <c r="O43" s="657"/>
      <c r="P43" s="657"/>
      <c r="Q43" s="657"/>
      <c r="R43" s="657"/>
      <c r="S43" s="657"/>
      <c r="T43" s="657"/>
      <c r="U43" s="657"/>
      <c r="V43" s="657"/>
      <c r="W43" s="657"/>
      <c r="X43" s="657"/>
    </row>
    <row r="44" spans="2:30" ht="25.5">
      <c r="B44" s="637" t="s">
        <v>499</v>
      </c>
      <c r="C44" s="652" t="s">
        <v>753</v>
      </c>
      <c r="D44" s="652" t="s">
        <v>754</v>
      </c>
      <c r="E44" s="652" t="s">
        <v>755</v>
      </c>
      <c r="F44" s="652" t="s">
        <v>461</v>
      </c>
      <c r="G44" s="652" t="s">
        <v>756</v>
      </c>
      <c r="H44" s="652" t="s">
        <v>757</v>
      </c>
      <c r="I44" s="652" t="s">
        <v>462</v>
      </c>
      <c r="J44" s="652" t="s">
        <v>463</v>
      </c>
      <c r="K44" s="652" t="s">
        <v>758</v>
      </c>
      <c r="L44" s="652" t="s">
        <v>793</v>
      </c>
      <c r="M44" s="652" t="s">
        <v>759</v>
      </c>
      <c r="N44" s="652" t="s">
        <v>465</v>
      </c>
      <c r="O44" s="652" t="s">
        <v>807</v>
      </c>
      <c r="P44" s="652" t="s">
        <v>469</v>
      </c>
      <c r="Q44" s="652" t="s">
        <v>470</v>
      </c>
      <c r="R44" s="652" t="s">
        <v>760</v>
      </c>
      <c r="S44" s="652" t="s">
        <v>468</v>
      </c>
      <c r="T44" s="652" t="s">
        <v>761</v>
      </c>
      <c r="U44" s="652" t="s">
        <v>762</v>
      </c>
      <c r="V44" s="652" t="str">
        <f>+V152</f>
        <v>New Ertiga</v>
      </c>
      <c r="W44" s="652" t="s">
        <v>763</v>
      </c>
      <c r="X44" s="652" t="s">
        <v>764</v>
      </c>
      <c r="Y44" s="652" t="s">
        <v>467</v>
      </c>
      <c r="Z44" s="652"/>
      <c r="AA44" s="652" t="s">
        <v>765</v>
      </c>
      <c r="AB44" s="652"/>
      <c r="AC44" s="652" t="s">
        <v>766</v>
      </c>
      <c r="AD44" s="652"/>
    </row>
    <row r="45" spans="2:30">
      <c r="B45" s="650" t="s">
        <v>767</v>
      </c>
      <c r="C45" s="284">
        <f t="shared" ref="C45:C50" si="7">VLOOKUP($I$72&amp;$B45,$A$125:$AA$278,COLUMN(),FALSE)</f>
        <v>3841</v>
      </c>
      <c r="D45" s="284">
        <f t="shared" ref="D45:X50" si="8">VLOOKUP($I$72&amp;$B45,$A$125:$AA$278,COLUMN(),FALSE)</f>
        <v>4184</v>
      </c>
      <c r="E45" s="284">
        <f t="shared" si="8"/>
        <v>4665</v>
      </c>
      <c r="F45" s="284">
        <f t="shared" si="8"/>
        <v>4462</v>
      </c>
      <c r="G45" s="284">
        <f t="shared" si="8"/>
        <v>4029</v>
      </c>
      <c r="H45" s="284">
        <f t="shared" si="8"/>
        <v>4799</v>
      </c>
      <c r="I45" s="284">
        <f t="shared" si="8"/>
        <v>4911</v>
      </c>
      <c r="J45" s="284">
        <f t="shared" si="8"/>
        <v>4858</v>
      </c>
      <c r="K45" s="284">
        <f t="shared" si="8"/>
        <v>4858</v>
      </c>
      <c r="L45" s="284">
        <f t="shared" si="8"/>
        <v>4430</v>
      </c>
      <c r="M45" s="284">
        <f t="shared" si="8"/>
        <v>5473</v>
      </c>
      <c r="N45" s="284">
        <f t="shared" si="8"/>
        <v>4387</v>
      </c>
      <c r="O45" s="284">
        <f t="shared" si="8"/>
        <v>4034</v>
      </c>
      <c r="P45" s="284">
        <f t="shared" si="8"/>
        <v>4633</v>
      </c>
      <c r="Q45" s="284">
        <f t="shared" si="8"/>
        <v>5211</v>
      </c>
      <c r="R45" s="284">
        <f t="shared" si="8"/>
        <v>4756</v>
      </c>
      <c r="S45" s="284">
        <f t="shared" si="8"/>
        <v>4029</v>
      </c>
      <c r="T45" s="284">
        <f t="shared" si="8"/>
        <v>3424</v>
      </c>
      <c r="U45" s="284">
        <f t="shared" si="8"/>
        <v>4253</v>
      </c>
      <c r="V45" s="284">
        <f t="shared" si="8"/>
        <v>5050</v>
      </c>
      <c r="W45" s="284">
        <f t="shared" si="8"/>
        <v>4788</v>
      </c>
      <c r="X45" s="284">
        <f t="shared" si="8"/>
        <v>0</v>
      </c>
      <c r="Y45" s="285"/>
      <c r="Z45" s="285"/>
      <c r="AA45" s="285"/>
      <c r="AB45" s="285"/>
      <c r="AC45" s="285"/>
      <c r="AD45" s="285"/>
    </row>
    <row r="46" spans="2:30">
      <c r="B46" s="650" t="s">
        <v>768</v>
      </c>
      <c r="C46" s="284">
        <f t="shared" si="7"/>
        <v>3841</v>
      </c>
      <c r="D46" s="284">
        <f t="shared" si="8"/>
        <v>3970</v>
      </c>
      <c r="E46" s="284">
        <f t="shared" si="8"/>
        <v>4109</v>
      </c>
      <c r="F46" s="284">
        <f t="shared" si="8"/>
        <v>4820</v>
      </c>
      <c r="G46" s="284">
        <f t="shared" si="8"/>
        <v>3906</v>
      </c>
      <c r="H46" s="284">
        <f t="shared" si="8"/>
        <v>4328</v>
      </c>
      <c r="I46" s="284">
        <f t="shared" si="8"/>
        <v>4473</v>
      </c>
      <c r="J46" s="284">
        <f t="shared" si="8"/>
        <v>4858</v>
      </c>
      <c r="K46" s="284">
        <f t="shared" si="8"/>
        <v>4858</v>
      </c>
      <c r="L46" s="284">
        <f t="shared" si="8"/>
        <v>3734</v>
      </c>
      <c r="M46" s="284">
        <f t="shared" si="8"/>
        <v>5473</v>
      </c>
      <c r="N46" s="284">
        <f t="shared" si="8"/>
        <v>5313</v>
      </c>
      <c r="O46" s="284">
        <f t="shared" si="8"/>
        <v>4435</v>
      </c>
      <c r="P46" s="284">
        <f t="shared" si="8"/>
        <v>5147</v>
      </c>
      <c r="Q46" s="284">
        <f t="shared" si="8"/>
        <v>5527</v>
      </c>
      <c r="R46" s="284">
        <f t="shared" si="8"/>
        <v>4788</v>
      </c>
      <c r="S46" s="284">
        <f t="shared" si="8"/>
        <v>4243</v>
      </c>
      <c r="T46" s="284">
        <f t="shared" si="8"/>
        <v>3371</v>
      </c>
      <c r="U46" s="284">
        <f t="shared" si="8"/>
        <v>3536</v>
      </c>
      <c r="V46" s="284">
        <f t="shared" si="8"/>
        <v>5190</v>
      </c>
      <c r="W46" s="284">
        <f t="shared" si="8"/>
        <v>4788</v>
      </c>
      <c r="X46" s="284">
        <f t="shared" si="8"/>
        <v>0</v>
      </c>
      <c r="Y46" s="285"/>
      <c r="Z46" s="285"/>
      <c r="AA46" s="285"/>
      <c r="AB46" s="285"/>
      <c r="AC46" s="285"/>
      <c r="AD46" s="285"/>
    </row>
    <row r="47" spans="2:30">
      <c r="B47" s="650" t="s">
        <v>472</v>
      </c>
      <c r="C47" s="284">
        <f t="shared" si="7"/>
        <v>4285</v>
      </c>
      <c r="D47" s="284">
        <f t="shared" si="8"/>
        <v>4778</v>
      </c>
      <c r="E47" s="284">
        <f t="shared" si="8"/>
        <v>4194</v>
      </c>
      <c r="F47" s="284">
        <f t="shared" si="8"/>
        <v>4564</v>
      </c>
      <c r="G47" s="284">
        <f t="shared" si="8"/>
        <v>4146</v>
      </c>
      <c r="H47" s="284">
        <f t="shared" si="8"/>
        <v>3996</v>
      </c>
      <c r="I47" s="284">
        <f t="shared" si="8"/>
        <v>4462</v>
      </c>
      <c r="J47" s="284">
        <f t="shared" si="8"/>
        <v>4767</v>
      </c>
      <c r="K47" s="284">
        <f t="shared" si="8"/>
        <v>4767</v>
      </c>
      <c r="L47" s="284">
        <f t="shared" si="8"/>
        <v>3970</v>
      </c>
      <c r="M47" s="284">
        <f t="shared" si="8"/>
        <v>6543</v>
      </c>
      <c r="N47" s="284">
        <f t="shared" si="8"/>
        <v>4959</v>
      </c>
      <c r="O47" s="284">
        <f t="shared" si="8"/>
        <v>4489</v>
      </c>
      <c r="P47" s="284">
        <f t="shared" si="8"/>
        <v>5425</v>
      </c>
      <c r="Q47" s="284">
        <f t="shared" si="8"/>
        <v>5880</v>
      </c>
      <c r="R47" s="284">
        <f t="shared" si="8"/>
        <v>4992</v>
      </c>
      <c r="S47" s="284">
        <f t="shared" si="8"/>
        <v>4633</v>
      </c>
      <c r="T47" s="284">
        <f t="shared" si="8"/>
        <v>5313</v>
      </c>
      <c r="U47" s="284">
        <f t="shared" si="8"/>
        <v>4622</v>
      </c>
      <c r="V47" s="284">
        <f t="shared" si="8"/>
        <v>4836</v>
      </c>
      <c r="W47" s="284">
        <f t="shared" si="8"/>
        <v>6019</v>
      </c>
      <c r="X47" s="284">
        <f t="shared" si="8"/>
        <v>3970</v>
      </c>
      <c r="Y47" s="285"/>
      <c r="Z47" s="285"/>
      <c r="AA47" s="285"/>
      <c r="AB47" s="285"/>
      <c r="AC47" s="285"/>
      <c r="AD47" s="285"/>
    </row>
    <row r="48" spans="2:30">
      <c r="B48" s="650" t="s">
        <v>473</v>
      </c>
      <c r="C48" s="284">
        <f t="shared" si="7"/>
        <v>3210</v>
      </c>
      <c r="D48" s="284">
        <f t="shared" si="8"/>
        <v>3178</v>
      </c>
      <c r="E48" s="284">
        <f t="shared" si="8"/>
        <v>3301</v>
      </c>
      <c r="F48" s="284">
        <f t="shared" si="8"/>
        <v>3322</v>
      </c>
      <c r="G48" s="284">
        <f t="shared" si="8"/>
        <v>3221</v>
      </c>
      <c r="H48" s="284">
        <f t="shared" si="8"/>
        <v>3210</v>
      </c>
      <c r="I48" s="284">
        <f t="shared" si="8"/>
        <v>3167</v>
      </c>
      <c r="J48" s="284">
        <f t="shared" si="8"/>
        <v>3371</v>
      </c>
      <c r="K48" s="284">
        <f t="shared" si="8"/>
        <v>3371</v>
      </c>
      <c r="L48" s="284">
        <f t="shared" si="8"/>
        <v>3467</v>
      </c>
      <c r="M48" s="284">
        <f t="shared" si="8"/>
        <v>3494</v>
      </c>
      <c r="N48" s="284">
        <f t="shared" si="8"/>
        <v>3740</v>
      </c>
      <c r="O48" s="284">
        <f t="shared" si="8"/>
        <v>3205</v>
      </c>
      <c r="P48" s="284">
        <f t="shared" si="8"/>
        <v>3199</v>
      </c>
      <c r="Q48" s="284">
        <f t="shared" si="8"/>
        <v>3328</v>
      </c>
      <c r="R48" s="284">
        <f t="shared" si="8"/>
        <v>3221</v>
      </c>
      <c r="S48" s="284">
        <f t="shared" si="8"/>
        <v>3258</v>
      </c>
      <c r="T48" s="284">
        <f t="shared" si="8"/>
        <v>3055</v>
      </c>
      <c r="U48" s="284">
        <f t="shared" si="8"/>
        <v>3098</v>
      </c>
      <c r="V48" s="284">
        <f t="shared" si="8"/>
        <v>3344</v>
      </c>
      <c r="W48" s="284">
        <f t="shared" si="8"/>
        <v>3381</v>
      </c>
      <c r="X48" s="284">
        <f t="shared" si="8"/>
        <v>3146</v>
      </c>
      <c r="Y48" s="285"/>
      <c r="Z48" s="285"/>
      <c r="AA48" s="285"/>
      <c r="AB48" s="285"/>
      <c r="AC48" s="285"/>
      <c r="AD48" s="285"/>
    </row>
    <row r="49" spans="2:30">
      <c r="B49" s="650" t="s">
        <v>770</v>
      </c>
      <c r="C49" s="284">
        <f t="shared" si="7"/>
        <v>4205</v>
      </c>
      <c r="D49" s="284">
        <f t="shared" si="8"/>
        <v>4205</v>
      </c>
      <c r="E49" s="284">
        <f t="shared" si="8"/>
        <v>4205</v>
      </c>
      <c r="F49" s="284">
        <f t="shared" si="8"/>
        <v>4542</v>
      </c>
      <c r="G49" s="284">
        <f t="shared" si="8"/>
        <v>4489</v>
      </c>
      <c r="H49" s="284">
        <f t="shared" si="8"/>
        <v>4366</v>
      </c>
      <c r="I49" s="284">
        <f t="shared" si="8"/>
        <v>4489</v>
      </c>
      <c r="J49" s="284">
        <f t="shared" si="8"/>
        <v>4612</v>
      </c>
      <c r="K49" s="284">
        <f t="shared" si="8"/>
        <v>4612</v>
      </c>
      <c r="L49" s="284">
        <f t="shared" si="8"/>
        <v>4387</v>
      </c>
      <c r="M49" s="284">
        <f t="shared" si="8"/>
        <v>4820</v>
      </c>
      <c r="N49" s="284">
        <f t="shared" si="8"/>
        <v>4376</v>
      </c>
      <c r="O49" s="284">
        <f t="shared" si="8"/>
        <v>4778</v>
      </c>
      <c r="P49" s="284">
        <f t="shared" si="8"/>
        <v>4473</v>
      </c>
      <c r="Q49" s="284">
        <f t="shared" si="8"/>
        <v>4521</v>
      </c>
      <c r="R49" s="284">
        <f t="shared" si="8"/>
        <v>4489</v>
      </c>
      <c r="S49" s="284">
        <f t="shared" si="8"/>
        <v>4408</v>
      </c>
      <c r="T49" s="284">
        <f t="shared" si="8"/>
        <v>4531</v>
      </c>
      <c r="U49" s="284">
        <f t="shared" si="8"/>
        <v>4489</v>
      </c>
      <c r="V49" s="284">
        <f t="shared" si="8"/>
        <v>4569</v>
      </c>
      <c r="W49" s="284">
        <f t="shared" si="8"/>
        <v>4553</v>
      </c>
      <c r="X49" s="284">
        <f t="shared" si="8"/>
        <v>4061</v>
      </c>
      <c r="Y49" s="285"/>
      <c r="Z49" s="285"/>
      <c r="AA49" s="285"/>
      <c r="AB49" s="285"/>
      <c r="AC49" s="285"/>
      <c r="AD49" s="285"/>
    </row>
    <row r="50" spans="2:30">
      <c r="B50" s="650" t="s">
        <v>772</v>
      </c>
      <c r="C50" s="284">
        <f t="shared" si="7"/>
        <v>4205</v>
      </c>
      <c r="D50" s="284">
        <f t="shared" si="8"/>
        <v>4205</v>
      </c>
      <c r="E50" s="284">
        <f t="shared" si="8"/>
        <v>4205</v>
      </c>
      <c r="F50" s="284">
        <f t="shared" si="8"/>
        <v>4869</v>
      </c>
      <c r="G50" s="284">
        <f t="shared" si="8"/>
        <v>4489</v>
      </c>
      <c r="H50" s="284">
        <f t="shared" si="8"/>
        <v>4366</v>
      </c>
      <c r="I50" s="284">
        <f t="shared" si="8"/>
        <v>4489</v>
      </c>
      <c r="J50" s="284">
        <f t="shared" si="8"/>
        <v>4612</v>
      </c>
      <c r="K50" s="284">
        <f t="shared" si="8"/>
        <v>4612</v>
      </c>
      <c r="L50" s="284">
        <f t="shared" si="8"/>
        <v>4387</v>
      </c>
      <c r="M50" s="284">
        <f t="shared" si="8"/>
        <v>4820</v>
      </c>
      <c r="N50" s="284">
        <f t="shared" si="8"/>
        <v>4189</v>
      </c>
      <c r="O50" s="284">
        <f t="shared" si="8"/>
        <v>4323</v>
      </c>
      <c r="P50" s="284">
        <f t="shared" si="8"/>
        <v>4366</v>
      </c>
      <c r="Q50" s="284">
        <f t="shared" si="8"/>
        <v>4521</v>
      </c>
      <c r="R50" s="284">
        <f t="shared" si="8"/>
        <v>4173</v>
      </c>
      <c r="S50" s="284">
        <f t="shared" si="8"/>
        <v>4205</v>
      </c>
      <c r="T50" s="284">
        <f t="shared" si="8"/>
        <v>4275</v>
      </c>
      <c r="U50" s="284">
        <f t="shared" si="8"/>
        <v>4152</v>
      </c>
      <c r="V50" s="284">
        <f t="shared" si="8"/>
        <v>4943</v>
      </c>
      <c r="W50" s="284">
        <f t="shared" si="8"/>
        <v>4553</v>
      </c>
      <c r="X50" s="284">
        <f t="shared" si="8"/>
        <v>4061</v>
      </c>
      <c r="Y50" s="285"/>
      <c r="Z50" s="285"/>
      <c r="AA50" s="285"/>
      <c r="AB50" s="285"/>
      <c r="AC50" s="285"/>
      <c r="AD50" s="285"/>
    </row>
    <row r="51" spans="2:30">
      <c r="B51" s="650" t="s">
        <v>794</v>
      </c>
      <c r="C51" s="284">
        <f>C48</f>
        <v>3210</v>
      </c>
      <c r="D51" s="284">
        <f t="shared" ref="D51:X51" si="9">D48</f>
        <v>3178</v>
      </c>
      <c r="E51" s="284">
        <f t="shared" si="9"/>
        <v>3301</v>
      </c>
      <c r="F51" s="284">
        <f t="shared" si="9"/>
        <v>3322</v>
      </c>
      <c r="G51" s="284">
        <f t="shared" si="9"/>
        <v>3221</v>
      </c>
      <c r="H51" s="284">
        <f t="shared" si="9"/>
        <v>3210</v>
      </c>
      <c r="I51" s="284">
        <f t="shared" si="9"/>
        <v>3167</v>
      </c>
      <c r="J51" s="284">
        <f t="shared" si="9"/>
        <v>3371</v>
      </c>
      <c r="K51" s="284">
        <f t="shared" si="9"/>
        <v>3371</v>
      </c>
      <c r="L51" s="284">
        <f t="shared" si="9"/>
        <v>3467</v>
      </c>
      <c r="M51" s="284">
        <f t="shared" si="9"/>
        <v>3494</v>
      </c>
      <c r="N51" s="284">
        <f t="shared" si="9"/>
        <v>3740</v>
      </c>
      <c r="O51" s="284">
        <f t="shared" si="9"/>
        <v>3205</v>
      </c>
      <c r="P51" s="284">
        <f t="shared" si="9"/>
        <v>3199</v>
      </c>
      <c r="Q51" s="284">
        <f t="shared" si="9"/>
        <v>3328</v>
      </c>
      <c r="R51" s="284">
        <f t="shared" si="9"/>
        <v>3221</v>
      </c>
      <c r="S51" s="284">
        <f t="shared" si="9"/>
        <v>3258</v>
      </c>
      <c r="T51" s="284">
        <f t="shared" si="9"/>
        <v>3055</v>
      </c>
      <c r="U51" s="284">
        <f t="shared" si="9"/>
        <v>3098</v>
      </c>
      <c r="V51" s="284">
        <f t="shared" si="9"/>
        <v>3344</v>
      </c>
      <c r="W51" s="284">
        <f t="shared" si="9"/>
        <v>3381</v>
      </c>
      <c r="X51" s="284">
        <f t="shared" si="9"/>
        <v>3146</v>
      </c>
      <c r="Y51" s="285"/>
      <c r="Z51" s="285"/>
      <c r="AA51" s="285"/>
      <c r="AB51" s="285"/>
      <c r="AC51" s="285"/>
      <c r="AD51" s="285"/>
    </row>
    <row r="52" spans="2:30">
      <c r="B52" s="650" t="s">
        <v>773</v>
      </c>
      <c r="C52" s="284">
        <f>VLOOKUP($I$72&amp;$B52,$A$125:$AA$278,COLUMN(),FALSE)</f>
        <v>4185</v>
      </c>
      <c r="D52" s="284">
        <f t="shared" ref="D52:X54" si="10">VLOOKUP($I$72&amp;$B52,$A$125:$AA$278,COLUMN(),FALSE)</f>
        <v>4184</v>
      </c>
      <c r="E52" s="284">
        <f t="shared" si="10"/>
        <v>4184</v>
      </c>
      <c r="F52" s="284">
        <f t="shared" si="10"/>
        <v>4922</v>
      </c>
      <c r="G52" s="284">
        <f t="shared" si="10"/>
        <v>4564</v>
      </c>
      <c r="H52" s="284">
        <f t="shared" si="10"/>
        <v>3547</v>
      </c>
      <c r="I52" s="284">
        <f t="shared" si="10"/>
        <v>4564</v>
      </c>
      <c r="J52" s="284">
        <f t="shared" si="10"/>
        <v>4205</v>
      </c>
      <c r="K52" s="284">
        <f t="shared" si="10"/>
        <v>4708</v>
      </c>
      <c r="L52" s="284">
        <f t="shared" si="10"/>
        <v>4430</v>
      </c>
      <c r="M52" s="284">
        <f t="shared" si="10"/>
        <v>4869</v>
      </c>
      <c r="N52" s="284">
        <f t="shared" si="10"/>
        <v>4376</v>
      </c>
      <c r="O52" s="284">
        <f t="shared" si="10"/>
        <v>4633</v>
      </c>
      <c r="P52" s="284">
        <f t="shared" si="10"/>
        <v>4531</v>
      </c>
      <c r="Q52" s="284">
        <f t="shared" si="10"/>
        <v>4890</v>
      </c>
      <c r="R52" s="284">
        <f t="shared" si="10"/>
        <v>4061</v>
      </c>
      <c r="S52" s="284">
        <f t="shared" si="10"/>
        <v>4339</v>
      </c>
      <c r="T52" s="284">
        <f t="shared" si="10"/>
        <v>4858</v>
      </c>
      <c r="U52" s="284">
        <f t="shared" si="10"/>
        <v>4858</v>
      </c>
      <c r="V52" s="284">
        <f t="shared" si="10"/>
        <v>5066</v>
      </c>
      <c r="W52" s="284">
        <f t="shared" si="10"/>
        <v>4596</v>
      </c>
      <c r="X52" s="284">
        <f t="shared" si="10"/>
        <v>3948</v>
      </c>
      <c r="Y52" s="285"/>
      <c r="Z52" s="285"/>
      <c r="AA52" s="285"/>
      <c r="AB52" s="285"/>
      <c r="AC52" s="285"/>
      <c r="AD52" s="285"/>
    </row>
    <row r="53" spans="2:30">
      <c r="B53" s="651" t="s">
        <v>474</v>
      </c>
      <c r="C53" s="284">
        <f>VLOOKUP($I$72&amp;$B53,$A$125:$AA$278,COLUMN(),FALSE)</f>
        <v>6345</v>
      </c>
      <c r="D53" s="284">
        <f t="shared" si="10"/>
        <v>6345</v>
      </c>
      <c r="E53" s="284">
        <f t="shared" si="10"/>
        <v>6522</v>
      </c>
      <c r="F53" s="284">
        <f t="shared" si="10"/>
        <v>9159</v>
      </c>
      <c r="G53" s="284">
        <f t="shared" si="10"/>
        <v>7404</v>
      </c>
      <c r="H53" s="284">
        <f t="shared" si="10"/>
        <v>6655</v>
      </c>
      <c r="I53" s="284">
        <f t="shared" si="10"/>
        <v>7003</v>
      </c>
      <c r="J53" s="284">
        <f t="shared" si="10"/>
        <v>6522</v>
      </c>
      <c r="K53" s="284">
        <f t="shared" si="10"/>
        <v>6522</v>
      </c>
      <c r="L53" s="284">
        <f t="shared" si="10"/>
        <v>6982</v>
      </c>
      <c r="M53" s="284">
        <f t="shared" si="10"/>
        <v>7683</v>
      </c>
      <c r="N53" s="284">
        <f t="shared" si="10"/>
        <v>6388</v>
      </c>
      <c r="O53" s="284">
        <f t="shared" si="10"/>
        <v>7929</v>
      </c>
      <c r="P53" s="284">
        <f t="shared" si="10"/>
        <v>6399</v>
      </c>
      <c r="Q53" s="284">
        <f t="shared" si="10"/>
        <v>7693</v>
      </c>
      <c r="R53" s="284">
        <f t="shared" si="10"/>
        <v>7180</v>
      </c>
      <c r="S53" s="284">
        <f t="shared" si="10"/>
        <v>7158</v>
      </c>
      <c r="T53" s="284">
        <f t="shared" si="10"/>
        <v>6613</v>
      </c>
      <c r="U53" s="284">
        <f t="shared" si="10"/>
        <v>6821</v>
      </c>
      <c r="V53" s="284">
        <f t="shared" si="10"/>
        <v>9395</v>
      </c>
      <c r="W53" s="284">
        <f t="shared" si="10"/>
        <v>6019</v>
      </c>
      <c r="X53" s="284">
        <f t="shared" si="10"/>
        <v>6062</v>
      </c>
      <c r="Y53" s="285"/>
      <c r="Z53" s="285"/>
      <c r="AA53" s="285"/>
      <c r="AB53" s="285"/>
      <c r="AC53" s="285"/>
      <c r="AD53" s="285"/>
    </row>
    <row r="54" spans="2:30" ht="13.5" customHeight="1">
      <c r="B54" s="650" t="s">
        <v>475</v>
      </c>
      <c r="C54" s="284">
        <f>VLOOKUP($I$72&amp;$B54,$A$125:$AA$278,COLUMN(),FALSE)</f>
        <v>40612</v>
      </c>
      <c r="D54" s="284">
        <f t="shared" si="10"/>
        <v>41318</v>
      </c>
      <c r="E54" s="284">
        <f t="shared" si="10"/>
        <v>41618</v>
      </c>
      <c r="F54" s="284">
        <f t="shared" si="10"/>
        <v>46796</v>
      </c>
      <c r="G54" s="284">
        <f t="shared" si="10"/>
        <v>42725</v>
      </c>
      <c r="H54" s="284">
        <f t="shared" si="10"/>
        <v>41789</v>
      </c>
      <c r="I54" s="284">
        <f t="shared" si="10"/>
        <v>43677</v>
      </c>
      <c r="J54" s="284">
        <f t="shared" si="10"/>
        <v>44539</v>
      </c>
      <c r="K54" s="284">
        <f t="shared" si="10"/>
        <v>44940</v>
      </c>
      <c r="L54" s="284">
        <f t="shared" si="10"/>
        <v>42827</v>
      </c>
      <c r="M54" s="284">
        <f t="shared" si="10"/>
        <v>49348</v>
      </c>
      <c r="N54" s="284">
        <f t="shared" si="10"/>
        <v>44025</v>
      </c>
      <c r="O54" s="284">
        <f t="shared" si="10"/>
        <v>44068</v>
      </c>
      <c r="P54" s="284">
        <f t="shared" si="10"/>
        <v>43677</v>
      </c>
      <c r="Q54" s="284">
        <f t="shared" si="10"/>
        <v>46706</v>
      </c>
      <c r="R54" s="284">
        <f t="shared" si="10"/>
        <v>43645</v>
      </c>
      <c r="S54" s="284">
        <f t="shared" si="10"/>
        <v>42527</v>
      </c>
      <c r="T54" s="284">
        <f t="shared" si="10"/>
        <v>41687</v>
      </c>
      <c r="U54" s="284">
        <f t="shared" si="10"/>
        <v>41933</v>
      </c>
      <c r="V54" s="284">
        <f t="shared" si="10"/>
        <v>48305</v>
      </c>
      <c r="W54" s="284">
        <f t="shared" si="10"/>
        <v>46449</v>
      </c>
      <c r="X54" s="284">
        <f t="shared" si="10"/>
        <v>33347</v>
      </c>
      <c r="Y54" s="285"/>
      <c r="Z54" s="285"/>
      <c r="AA54" s="285"/>
      <c r="AB54" s="285"/>
      <c r="AC54" s="285"/>
      <c r="AD54" s="285"/>
    </row>
    <row r="56" spans="2:30" ht="30" hidden="1">
      <c r="C56" s="300" t="s">
        <v>429</v>
      </c>
      <c r="D56" s="655" t="s">
        <v>477</v>
      </c>
      <c r="E56" s="655"/>
      <c r="F56" s="301" t="s">
        <v>478</v>
      </c>
      <c r="H56" s="298" t="s">
        <v>479</v>
      </c>
      <c r="I56" s="299" t="s">
        <v>34</v>
      </c>
    </row>
    <row r="57" spans="2:30" hidden="1">
      <c r="B57" s="302" t="s">
        <v>460</v>
      </c>
      <c r="C57" s="303" t="s">
        <v>753</v>
      </c>
      <c r="D57" s="361">
        <v>2</v>
      </c>
      <c r="E57" s="304"/>
      <c r="F57" s="654">
        <v>0.8</v>
      </c>
      <c r="H57" s="285" t="s">
        <v>480</v>
      </c>
      <c r="I57" s="285">
        <v>1</v>
      </c>
      <c r="K57" s="303" t="s">
        <v>460</v>
      </c>
      <c r="L57" s="304"/>
    </row>
    <row r="58" spans="2:30" ht="30" hidden="1">
      <c r="B58" s="670" t="s">
        <v>767</v>
      </c>
      <c r="C58" s="296" t="s">
        <v>754</v>
      </c>
      <c r="D58" s="653">
        <v>3</v>
      </c>
      <c r="E58" s="307"/>
      <c r="F58" s="343">
        <v>0.8</v>
      </c>
      <c r="H58" s="309" t="s">
        <v>481</v>
      </c>
      <c r="I58" s="285">
        <f>VLOOKUP(C6,C57:F78,3,FALSE)</f>
        <v>0</v>
      </c>
      <c r="K58" s="306" t="s">
        <v>482</v>
      </c>
      <c r="L58" s="307"/>
    </row>
    <row r="59" spans="2:30" hidden="1">
      <c r="B59" s="670" t="s">
        <v>768</v>
      </c>
      <c r="C59" s="296" t="s">
        <v>755</v>
      </c>
      <c r="D59" s="653">
        <v>4</v>
      </c>
      <c r="E59" s="307"/>
      <c r="F59" s="343">
        <v>0.8</v>
      </c>
      <c r="H59" s="285" t="s">
        <v>483</v>
      </c>
      <c r="I59" s="285">
        <v>1.1100000000000001</v>
      </c>
      <c r="K59" s="306" t="s">
        <v>484</v>
      </c>
      <c r="L59" s="307"/>
    </row>
    <row r="60" spans="2:30" hidden="1">
      <c r="B60" s="670" t="s">
        <v>472</v>
      </c>
      <c r="C60" s="296" t="s">
        <v>461</v>
      </c>
      <c r="D60" s="653">
        <v>5</v>
      </c>
      <c r="E60" s="307"/>
      <c r="F60" s="343">
        <v>0.8</v>
      </c>
      <c r="K60" s="310" t="s">
        <v>485</v>
      </c>
      <c r="L60" s="311"/>
    </row>
    <row r="61" spans="2:30" hidden="1">
      <c r="B61" s="670" t="s">
        <v>473</v>
      </c>
      <c r="C61" s="296" t="s">
        <v>756</v>
      </c>
      <c r="D61" s="653">
        <v>6</v>
      </c>
      <c r="E61" s="307"/>
      <c r="F61" s="343">
        <v>0.8</v>
      </c>
    </row>
    <row r="62" spans="2:30" hidden="1">
      <c r="B62" s="670" t="s">
        <v>770</v>
      </c>
      <c r="C62" s="296" t="s">
        <v>757</v>
      </c>
      <c r="D62" s="653">
        <v>7</v>
      </c>
      <c r="E62" s="307"/>
      <c r="F62" s="343">
        <v>0.8</v>
      </c>
      <c r="H62" s="296" t="s">
        <v>460</v>
      </c>
      <c r="I62" s="296">
        <v>2</v>
      </c>
      <c r="L62" s="312"/>
    </row>
    <row r="63" spans="2:30" hidden="1">
      <c r="B63" s="670" t="s">
        <v>772</v>
      </c>
      <c r="C63" s="296" t="s">
        <v>462</v>
      </c>
      <c r="D63" s="653">
        <v>8</v>
      </c>
      <c r="E63" s="307"/>
      <c r="F63" s="343">
        <v>0.8</v>
      </c>
      <c r="H63" s="296" t="s">
        <v>486</v>
      </c>
      <c r="I63" s="296">
        <v>3</v>
      </c>
      <c r="L63" s="312"/>
    </row>
    <row r="64" spans="2:30" hidden="1">
      <c r="B64" s="670" t="s">
        <v>794</v>
      </c>
      <c r="C64" s="296" t="s">
        <v>463</v>
      </c>
      <c r="D64" s="653">
        <v>9</v>
      </c>
      <c r="E64" s="307"/>
      <c r="F64" s="343">
        <v>0.8</v>
      </c>
      <c r="H64" s="296" t="s">
        <v>487</v>
      </c>
      <c r="I64" s="296">
        <v>4</v>
      </c>
      <c r="L64" s="312"/>
    </row>
    <row r="65" spans="2:12" hidden="1">
      <c r="B65" s="670" t="s">
        <v>773</v>
      </c>
      <c r="C65" s="296" t="s">
        <v>758</v>
      </c>
      <c r="D65" s="653">
        <v>10</v>
      </c>
      <c r="E65" s="307"/>
      <c r="F65" s="343">
        <v>0.8</v>
      </c>
      <c r="H65" s="296" t="s">
        <v>488</v>
      </c>
      <c r="I65" s="296">
        <v>5</v>
      </c>
      <c r="L65" s="312"/>
    </row>
    <row r="66" spans="2:12" hidden="1">
      <c r="B66" s="671" t="s">
        <v>474</v>
      </c>
      <c r="C66" s="296" t="s">
        <v>793</v>
      </c>
      <c r="D66" s="653">
        <v>11</v>
      </c>
      <c r="E66" s="307"/>
      <c r="F66" s="343">
        <v>0.8</v>
      </c>
      <c r="H66" s="296" t="s">
        <v>489</v>
      </c>
      <c r="I66" s="296">
        <v>6</v>
      </c>
      <c r="L66" s="313"/>
    </row>
    <row r="67" spans="2:12" hidden="1">
      <c r="B67" s="670" t="s">
        <v>475</v>
      </c>
      <c r="C67" s="296" t="s">
        <v>759</v>
      </c>
      <c r="D67" s="653">
        <v>12</v>
      </c>
      <c r="E67" s="307"/>
      <c r="F67" s="343">
        <v>0.8</v>
      </c>
      <c r="H67" s="296" t="s">
        <v>490</v>
      </c>
      <c r="I67" s="296">
        <v>7</v>
      </c>
      <c r="L67" s="313"/>
    </row>
    <row r="68" spans="2:12" hidden="1">
      <c r="C68" s="306" t="s">
        <v>465</v>
      </c>
      <c r="D68" s="653">
        <v>13</v>
      </c>
      <c r="E68" s="307"/>
      <c r="F68" s="343">
        <v>0.8</v>
      </c>
      <c r="H68" s="296" t="s">
        <v>491</v>
      </c>
      <c r="I68" s="296">
        <v>8</v>
      </c>
    </row>
    <row r="69" spans="2:12" hidden="1">
      <c r="C69" s="306" t="str">
        <f>+O152</f>
        <v>Big New Wagon R</v>
      </c>
      <c r="D69" s="653">
        <v>14</v>
      </c>
      <c r="E69" s="307"/>
      <c r="F69" s="343">
        <v>0.8</v>
      </c>
      <c r="H69" s="296" t="s">
        <v>674</v>
      </c>
      <c r="I69" s="296">
        <v>9</v>
      </c>
    </row>
    <row r="70" spans="2:12" hidden="1">
      <c r="C70" s="306" t="s">
        <v>469</v>
      </c>
      <c r="D70" s="653">
        <v>15</v>
      </c>
      <c r="E70" s="307"/>
      <c r="F70" s="343">
        <v>0.8</v>
      </c>
      <c r="H70" s="296" t="s">
        <v>269</v>
      </c>
      <c r="I70" s="296">
        <v>10</v>
      </c>
    </row>
    <row r="71" spans="2:12" ht="13.5" hidden="1" customHeight="1">
      <c r="C71" s="306" t="s">
        <v>470</v>
      </c>
      <c r="D71" s="653">
        <v>16</v>
      </c>
      <c r="E71" s="307"/>
      <c r="F71" s="343">
        <v>0.8</v>
      </c>
    </row>
    <row r="72" spans="2:12" hidden="1">
      <c r="C72" s="306" t="s">
        <v>760</v>
      </c>
      <c r="D72" s="653">
        <v>17</v>
      </c>
      <c r="E72" s="307"/>
      <c r="F72" s="343">
        <v>0.8</v>
      </c>
      <c r="H72" s="648" t="s">
        <v>780</v>
      </c>
      <c r="I72" s="649" t="str">
        <f>IF(C7="Metallic","M"&amp;C4,IF(C7="Non Metallic","NM"&amp;C4,"PW"&amp;C4))</f>
        <v>MB</v>
      </c>
    </row>
    <row r="73" spans="2:12" hidden="1">
      <c r="C73" s="306" t="s">
        <v>468</v>
      </c>
      <c r="D73" s="653">
        <v>18</v>
      </c>
      <c r="E73" s="307"/>
      <c r="F73" s="343">
        <v>0.8</v>
      </c>
    </row>
    <row r="74" spans="2:12" hidden="1">
      <c r="C74" s="306" t="s">
        <v>761</v>
      </c>
      <c r="D74" s="653">
        <v>19</v>
      </c>
      <c r="E74" s="307"/>
      <c r="F74" s="343">
        <v>0.8</v>
      </c>
    </row>
    <row r="75" spans="2:12" hidden="1">
      <c r="C75" s="306" t="s">
        <v>762</v>
      </c>
      <c r="D75" s="653">
        <v>20</v>
      </c>
      <c r="E75" s="307"/>
      <c r="F75" s="343">
        <v>0.8</v>
      </c>
    </row>
    <row r="76" spans="2:12" hidden="1">
      <c r="C76" s="306" t="s">
        <v>808</v>
      </c>
      <c r="D76" s="653">
        <v>21</v>
      </c>
      <c r="E76" s="307"/>
      <c r="F76" s="343">
        <v>0.8</v>
      </c>
    </row>
    <row r="77" spans="2:12" hidden="1">
      <c r="C77" s="306" t="s">
        <v>763</v>
      </c>
      <c r="D77" s="653">
        <v>22</v>
      </c>
      <c r="E77" s="307"/>
      <c r="F77" s="343">
        <v>0.8</v>
      </c>
    </row>
    <row r="78" spans="2:12" hidden="1">
      <c r="C78" s="310" t="s">
        <v>764</v>
      </c>
      <c r="D78" s="355">
        <v>23</v>
      </c>
      <c r="E78" s="311"/>
      <c r="F78" s="343">
        <v>0.8</v>
      </c>
    </row>
    <row r="79" spans="2:12" hidden="1"/>
    <row r="80" spans="2:12" hidden="1">
      <c r="B80" s="314" t="s">
        <v>492</v>
      </c>
      <c r="C80" s="314" t="str">
        <f>C5</f>
        <v>Alankar</v>
      </c>
      <c r="D80" s="315"/>
      <c r="E80" s="315"/>
    </row>
    <row r="81" spans="2:22" hidden="1">
      <c r="B81" s="314" t="s">
        <v>493</v>
      </c>
      <c r="C81" s="314">
        <f>VLOOKUP(C80,H62:I70,2,FALSE)</f>
        <v>3</v>
      </c>
      <c r="D81" s="315"/>
      <c r="E81" s="315"/>
    </row>
    <row r="82" spans="2:22" hidden="1">
      <c r="B82" s="314" t="s">
        <v>450</v>
      </c>
      <c r="C82" s="314" t="str">
        <f>C7</f>
        <v>Metallic</v>
      </c>
      <c r="D82" s="315"/>
      <c r="E82" s="315"/>
    </row>
    <row r="83" spans="2:22" hidden="1">
      <c r="B83" s="314" t="s">
        <v>494</v>
      </c>
      <c r="C83" s="314" t="str">
        <f>C8</f>
        <v>System</v>
      </c>
      <c r="D83" s="315"/>
      <c r="E83" s="315"/>
    </row>
    <row r="84" spans="2:22" hidden="1">
      <c r="B84" s="316" t="s">
        <v>451</v>
      </c>
      <c r="C84" s="316">
        <f>C9</f>
        <v>1</v>
      </c>
      <c r="D84" s="317"/>
      <c r="E84" s="317"/>
    </row>
    <row r="85" spans="2:22" hidden="1">
      <c r="B85" s="318" t="s">
        <v>453</v>
      </c>
      <c r="C85" s="316">
        <f>C10</f>
        <v>2</v>
      </c>
      <c r="D85" s="319"/>
      <c r="E85" s="319"/>
    </row>
    <row r="86" spans="2:22" hidden="1">
      <c r="B86" s="316" t="s">
        <v>495</v>
      </c>
      <c r="C86" s="316">
        <v>25</v>
      </c>
      <c r="D86" s="319"/>
      <c r="E86" s="319"/>
    </row>
    <row r="87" spans="2:22" hidden="1">
      <c r="B87" s="316" t="s">
        <v>58</v>
      </c>
      <c r="C87" s="316">
        <v>75</v>
      </c>
      <c r="D87" s="320"/>
      <c r="E87" s="320"/>
    </row>
    <row r="88" spans="2:22" hidden="1">
      <c r="B88" s="321" t="s">
        <v>496</v>
      </c>
      <c r="C88" s="321">
        <f>VLOOKUP(C6,C57:D78,2,FALSE)</f>
        <v>18</v>
      </c>
      <c r="D88" s="320"/>
      <c r="E88" s="320"/>
    </row>
    <row r="89" spans="2:22" ht="15.75" hidden="1" thickBot="1">
      <c r="B89" s="316" t="s">
        <v>497</v>
      </c>
      <c r="C89" s="321">
        <f>VLOOKUP(C7,H57:I59,2,FALSE)</f>
        <v>1</v>
      </c>
      <c r="D89" s="320"/>
      <c r="E89" s="320"/>
    </row>
    <row r="90" spans="2:22" ht="12.75" hidden="1" customHeight="1" thickBot="1">
      <c r="N90" s="1577" t="s">
        <v>486</v>
      </c>
      <c r="O90" s="1578"/>
      <c r="P90" s="1579"/>
      <c r="R90" s="1577" t="s">
        <v>498</v>
      </c>
      <c r="S90" s="1579"/>
      <c r="U90" s="1577" t="s">
        <v>489</v>
      </c>
      <c r="V90" s="1579"/>
    </row>
    <row r="91" spans="2:22" ht="45.75" hidden="1" thickBot="1">
      <c r="B91" s="322" t="s">
        <v>499</v>
      </c>
      <c r="C91" s="323" t="s">
        <v>500</v>
      </c>
      <c r="D91" s="323" t="s">
        <v>501</v>
      </c>
      <c r="E91" s="323"/>
      <c r="F91" s="324" t="s">
        <v>486</v>
      </c>
      <c r="G91" s="324" t="s">
        <v>487</v>
      </c>
      <c r="H91" s="324" t="s">
        <v>488</v>
      </c>
      <c r="I91" s="324" t="s">
        <v>489</v>
      </c>
      <c r="J91" s="492" t="s">
        <v>490</v>
      </c>
      <c r="K91" s="353" t="s">
        <v>491</v>
      </c>
      <c r="L91" s="323" t="s">
        <v>674</v>
      </c>
      <c r="M91" s="501" t="s">
        <v>269</v>
      </c>
      <c r="N91" s="494" t="s">
        <v>502</v>
      </c>
      <c r="O91" s="327" t="s">
        <v>503</v>
      </c>
      <c r="P91" s="327" t="s">
        <v>503</v>
      </c>
      <c r="R91" s="328" t="s">
        <v>451</v>
      </c>
      <c r="S91" s="329" t="s">
        <v>503</v>
      </c>
      <c r="U91" s="326" t="s">
        <v>502</v>
      </c>
      <c r="V91" s="327" t="s">
        <v>503</v>
      </c>
    </row>
    <row r="92" spans="2:22" hidden="1">
      <c r="B92" s="334" t="s">
        <v>498</v>
      </c>
      <c r="C92" s="335" t="s">
        <v>485</v>
      </c>
      <c r="D92" s="672" t="str">
        <f t="shared" ref="D92:D97" si="11">B92&amp;C92</f>
        <v>AllMinor/Touch up</v>
      </c>
      <c r="E92" s="335"/>
      <c r="F92" s="308">
        <v>35</v>
      </c>
      <c r="G92" s="308">
        <v>30</v>
      </c>
      <c r="H92" s="308">
        <v>20</v>
      </c>
      <c r="I92" s="308">
        <v>30</v>
      </c>
      <c r="J92" s="305">
        <v>30</v>
      </c>
      <c r="K92" s="334">
        <v>40</v>
      </c>
      <c r="L92" s="343">
        <v>30</v>
      </c>
      <c r="M92" s="502">
        <v>45</v>
      </c>
      <c r="N92" s="495">
        <v>0</v>
      </c>
      <c r="O92" s="331">
        <v>0</v>
      </c>
      <c r="P92" s="331">
        <v>0</v>
      </c>
      <c r="R92" s="332">
        <v>0</v>
      </c>
      <c r="S92" s="333">
        <v>0</v>
      </c>
      <c r="U92" s="330">
        <v>0</v>
      </c>
      <c r="V92" s="331">
        <v>0</v>
      </c>
    </row>
    <row r="93" spans="2:22" hidden="1">
      <c r="B93" s="334" t="s">
        <v>498</v>
      </c>
      <c r="C93" s="335" t="s">
        <v>484</v>
      </c>
      <c r="D93" s="672" t="str">
        <f t="shared" si="11"/>
        <v>AllOld</v>
      </c>
      <c r="E93" s="335"/>
      <c r="F93" s="336">
        <f>VLOOKUP(C85,N92:P95,2,TRUE)</f>
        <v>20</v>
      </c>
      <c r="G93" s="308">
        <v>30</v>
      </c>
      <c r="H93" s="308">
        <v>20</v>
      </c>
      <c r="I93" s="308">
        <v>30</v>
      </c>
      <c r="J93" s="305">
        <v>30</v>
      </c>
      <c r="K93" s="334">
        <v>30</v>
      </c>
      <c r="L93" s="343">
        <v>30</v>
      </c>
      <c r="M93" s="502">
        <v>45</v>
      </c>
      <c r="N93" s="496">
        <v>1</v>
      </c>
      <c r="O93" s="338">
        <v>10</v>
      </c>
      <c r="P93" s="338">
        <v>10</v>
      </c>
      <c r="R93" s="337">
        <v>1</v>
      </c>
      <c r="S93" s="338">
        <v>0</v>
      </c>
      <c r="U93" s="337">
        <v>1</v>
      </c>
      <c r="V93" s="338">
        <v>25</v>
      </c>
    </row>
    <row r="94" spans="2:22" ht="15.75" hidden="1" thickBot="1">
      <c r="B94" s="334" t="s">
        <v>498</v>
      </c>
      <c r="C94" s="335" t="s">
        <v>482</v>
      </c>
      <c r="D94" s="672" t="str">
        <f t="shared" si="11"/>
        <v>AllNew</v>
      </c>
      <c r="E94" s="335"/>
      <c r="F94" s="336">
        <f>VLOOKUP(C84,R92:S99,2,TRUE)</f>
        <v>0</v>
      </c>
      <c r="G94" s="336">
        <f>VLOOKUP(C84,R92:S99,2,TRUE)</f>
        <v>0</v>
      </c>
      <c r="H94" s="336">
        <f>VLOOKUP(C84,R92:S99,2,TRUE)</f>
        <v>0</v>
      </c>
      <c r="I94" s="305">
        <v>30</v>
      </c>
      <c r="J94" s="305">
        <v>30</v>
      </c>
      <c r="K94" s="498">
        <v>20</v>
      </c>
      <c r="L94" s="499">
        <f>VLOOKUP(C84,R92:S99,2,TRUE)</f>
        <v>0</v>
      </c>
      <c r="M94" s="502">
        <v>45</v>
      </c>
      <c r="N94" s="496">
        <v>2</v>
      </c>
      <c r="O94" s="338">
        <v>20</v>
      </c>
      <c r="P94" s="338">
        <v>20</v>
      </c>
      <c r="R94" s="339">
        <v>2</v>
      </c>
      <c r="S94" s="340">
        <v>8</v>
      </c>
      <c r="U94" s="341">
        <v>4</v>
      </c>
      <c r="V94" s="342">
        <v>25</v>
      </c>
    </row>
    <row r="95" spans="2:22" ht="15.75" hidden="1" thickBot="1">
      <c r="B95" s="334" t="s">
        <v>471</v>
      </c>
      <c r="C95" s="335" t="s">
        <v>485</v>
      </c>
      <c r="D95" s="672" t="str">
        <f t="shared" si="11"/>
        <v>BumperMinor/Touch up</v>
      </c>
      <c r="E95" s="335"/>
      <c r="F95" s="308">
        <v>30</v>
      </c>
      <c r="G95" s="308">
        <v>30</v>
      </c>
      <c r="H95" s="308">
        <v>20</v>
      </c>
      <c r="I95" s="308">
        <v>35</v>
      </c>
      <c r="J95" s="305">
        <v>30</v>
      </c>
      <c r="K95" s="498">
        <v>40</v>
      </c>
      <c r="L95" s="343">
        <v>30</v>
      </c>
      <c r="M95" s="502">
        <v>45</v>
      </c>
      <c r="N95" s="497">
        <v>3</v>
      </c>
      <c r="O95" s="342">
        <v>25</v>
      </c>
      <c r="P95" s="342">
        <v>25</v>
      </c>
      <c r="R95" s="339">
        <v>3</v>
      </c>
      <c r="S95" s="340">
        <v>10</v>
      </c>
    </row>
    <row r="96" spans="2:22" hidden="1">
      <c r="B96" s="334" t="s">
        <v>471</v>
      </c>
      <c r="C96" s="343" t="s">
        <v>482</v>
      </c>
      <c r="D96" s="672" t="str">
        <f t="shared" si="11"/>
        <v>BumperNew</v>
      </c>
      <c r="E96" s="335"/>
      <c r="F96" s="336">
        <f>VLOOKUP(C84,R92:S99,2,TRUE)</f>
        <v>0</v>
      </c>
      <c r="G96" s="344">
        <f>VLOOKUP(C84,R92:S99,2,TRUE)</f>
        <v>0</v>
      </c>
      <c r="H96" s="336">
        <f>VLOOKUP(C84,R92:S99,2,TRUE)</f>
        <v>0</v>
      </c>
      <c r="I96" s="308">
        <v>30</v>
      </c>
      <c r="J96" s="308">
        <v>30</v>
      </c>
      <c r="K96" s="498">
        <v>20</v>
      </c>
      <c r="L96" s="500">
        <f>VLOOKUP(C84,R92:S99,2,TRUE)</f>
        <v>0</v>
      </c>
      <c r="M96" s="502">
        <v>45</v>
      </c>
      <c r="R96" s="339">
        <v>4</v>
      </c>
      <c r="S96" s="340">
        <v>12</v>
      </c>
    </row>
    <row r="97" spans="2:19" ht="15.75" hidden="1" thickBot="1">
      <c r="B97" s="345" t="s">
        <v>471</v>
      </c>
      <c r="C97" s="346" t="s">
        <v>484</v>
      </c>
      <c r="D97" s="673" t="str">
        <f t="shared" si="11"/>
        <v>BumperOld</v>
      </c>
      <c r="E97" s="347"/>
      <c r="F97" s="348">
        <v>30</v>
      </c>
      <c r="G97" s="349">
        <v>30</v>
      </c>
      <c r="H97" s="349">
        <v>20</v>
      </c>
      <c r="I97" s="349">
        <v>30</v>
      </c>
      <c r="J97" s="493">
        <v>30</v>
      </c>
      <c r="K97" s="345">
        <v>30</v>
      </c>
      <c r="L97" s="346">
        <v>30</v>
      </c>
      <c r="M97" s="503">
        <v>45</v>
      </c>
      <c r="R97" s="339">
        <v>5</v>
      </c>
      <c r="S97" s="340">
        <v>18</v>
      </c>
    </row>
    <row r="98" spans="2:19" hidden="1">
      <c r="R98" s="339">
        <v>6</v>
      </c>
      <c r="S98" s="340">
        <v>20</v>
      </c>
    </row>
    <row r="99" spans="2:19" ht="15.75" hidden="1" thickBot="1">
      <c r="R99" s="350">
        <v>7</v>
      </c>
      <c r="S99" s="351">
        <v>22</v>
      </c>
    </row>
    <row r="100" spans="2:19" ht="15.75" hidden="1" thickBot="1">
      <c r="B100" s="1547" t="s">
        <v>504</v>
      </c>
      <c r="C100" s="1548"/>
      <c r="D100" s="1548"/>
      <c r="E100" s="1548"/>
      <c r="F100" s="1548"/>
      <c r="G100" s="1548"/>
      <c r="H100" s="1548"/>
      <c r="I100" s="1548"/>
      <c r="J100" s="1548"/>
      <c r="K100" s="1549"/>
      <c r="R100" s="352"/>
      <c r="S100" s="352"/>
    </row>
    <row r="101" spans="2:19" ht="30.75" hidden="1" thickBot="1">
      <c r="B101" s="353" t="s">
        <v>505</v>
      </c>
      <c r="C101" s="324" t="s">
        <v>506</v>
      </c>
      <c r="D101" s="324" t="s">
        <v>507</v>
      </c>
      <c r="E101" s="324"/>
      <c r="F101" s="324" t="s">
        <v>508</v>
      </c>
      <c r="G101" s="324" t="s">
        <v>509</v>
      </c>
      <c r="H101" s="324" t="s">
        <v>510</v>
      </c>
      <c r="I101" s="324" t="s">
        <v>511</v>
      </c>
      <c r="J101" s="325" t="s">
        <v>512</v>
      </c>
      <c r="K101" s="324" t="s">
        <v>495</v>
      </c>
    </row>
    <row r="102" spans="2:19" hidden="1">
      <c r="B102" s="354" t="str">
        <f t="shared" ref="B102:C115" si="12">B12</f>
        <v>Front Bumper</v>
      </c>
      <c r="C102" s="355" t="str">
        <f t="shared" si="12"/>
        <v>New</v>
      </c>
      <c r="D102" s="355" t="str">
        <f>IF(RIGHT(B102,6)="Bumper",RIGHT(B102,6),"All")</f>
        <v>Bumper</v>
      </c>
      <c r="E102" s="355"/>
      <c r="F102" s="355" t="str">
        <f t="shared" ref="F102:F115" si="13">D102&amp;C102</f>
        <v>BumperNew</v>
      </c>
      <c r="G102" s="356">
        <f t="shared" ref="G102:G115" si="14">IF(OR(C102=0,C102="Select"),0,IF(F102="AllSelect",0,VLOOKUP(D102&amp;C102,$D$92:$M$97,$C$81,FALSE)))</f>
        <v>0</v>
      </c>
      <c r="H102" s="355">
        <f t="shared" ref="H102:H115" si="15">IF(F12&lt;&gt;"",F12,0)</f>
        <v>4029</v>
      </c>
      <c r="I102" s="355">
        <f>ROUND(H102*(100-G102)/100,0)</f>
        <v>4029</v>
      </c>
      <c r="J102" s="357">
        <f t="shared" ref="J102:J121" si="16">IF($C$83="Yes",I102,ROUND(I102*0.75,0))</f>
        <v>3022</v>
      </c>
      <c r="K102" s="355">
        <f t="shared" ref="K102:K121" si="17">IF($C$83="Yes",0,ROUND(I102*0.25,0))</f>
        <v>1007</v>
      </c>
    </row>
    <row r="103" spans="2:19" hidden="1">
      <c r="B103" s="358" t="str">
        <f t="shared" si="12"/>
        <v>Fender</v>
      </c>
      <c r="C103" s="285" t="str">
        <f t="shared" si="12"/>
        <v>Old</v>
      </c>
      <c r="D103" s="355" t="str">
        <f t="shared" ref="D103:D115" si="18">IF(RIGHT(B103,6)="Bumper",RIGHT(B103,6),"All")</f>
        <v>All</v>
      </c>
      <c r="E103" s="285"/>
      <c r="F103" s="285" t="str">
        <f t="shared" si="13"/>
        <v>AllOld</v>
      </c>
      <c r="G103" s="314">
        <f t="shared" si="14"/>
        <v>20</v>
      </c>
      <c r="H103" s="285">
        <f t="shared" si="15"/>
        <v>3258</v>
      </c>
      <c r="I103" s="285">
        <f t="shared" ref="I103:I121" si="19">ROUND(H103*(100-G103)/100,0)</f>
        <v>2606</v>
      </c>
      <c r="J103" s="286">
        <f t="shared" si="16"/>
        <v>1955</v>
      </c>
      <c r="K103" s="285">
        <f t="shared" si="17"/>
        <v>652</v>
      </c>
    </row>
    <row r="104" spans="2:19" hidden="1">
      <c r="B104" s="358" t="str">
        <f t="shared" si="12"/>
        <v>Front Door</v>
      </c>
      <c r="C104" s="285" t="str">
        <f t="shared" si="12"/>
        <v>Old</v>
      </c>
      <c r="D104" s="355" t="str">
        <f t="shared" si="18"/>
        <v>All</v>
      </c>
      <c r="E104" s="285"/>
      <c r="F104" s="285" t="str">
        <f t="shared" si="13"/>
        <v>AllOld</v>
      </c>
      <c r="G104" s="314">
        <f t="shared" si="14"/>
        <v>20</v>
      </c>
      <c r="H104" s="285">
        <f t="shared" si="15"/>
        <v>4408</v>
      </c>
      <c r="I104" s="285">
        <f t="shared" si="19"/>
        <v>3526</v>
      </c>
      <c r="J104" s="286">
        <f t="shared" si="16"/>
        <v>2645</v>
      </c>
      <c r="K104" s="285">
        <f t="shared" si="17"/>
        <v>882</v>
      </c>
    </row>
    <row r="105" spans="2:19" hidden="1">
      <c r="B105" s="358">
        <f t="shared" si="12"/>
        <v>0</v>
      </c>
      <c r="C105" s="285">
        <f t="shared" si="12"/>
        <v>0</v>
      </c>
      <c r="D105" s="355" t="str">
        <f t="shared" si="18"/>
        <v>All</v>
      </c>
      <c r="E105" s="285"/>
      <c r="F105" s="285" t="str">
        <f t="shared" si="13"/>
        <v>All0</v>
      </c>
      <c r="G105" s="314">
        <f t="shared" si="14"/>
        <v>0</v>
      </c>
      <c r="H105" s="285">
        <f t="shared" si="15"/>
        <v>0</v>
      </c>
      <c r="I105" s="285">
        <f t="shared" si="19"/>
        <v>0</v>
      </c>
      <c r="J105" s="286">
        <f t="shared" si="16"/>
        <v>0</v>
      </c>
      <c r="K105" s="285">
        <f t="shared" si="17"/>
        <v>0</v>
      </c>
    </row>
    <row r="106" spans="2:19" hidden="1">
      <c r="B106" s="358">
        <f t="shared" si="12"/>
        <v>0</v>
      </c>
      <c r="C106" s="285">
        <f t="shared" si="12"/>
        <v>0</v>
      </c>
      <c r="D106" s="355" t="str">
        <f t="shared" si="18"/>
        <v>All</v>
      </c>
      <c r="E106" s="285"/>
      <c r="F106" s="285" t="str">
        <f t="shared" si="13"/>
        <v>All0</v>
      </c>
      <c r="G106" s="314">
        <f t="shared" si="14"/>
        <v>0</v>
      </c>
      <c r="H106" s="285">
        <f t="shared" si="15"/>
        <v>0</v>
      </c>
      <c r="I106" s="285">
        <f t="shared" si="19"/>
        <v>0</v>
      </c>
      <c r="J106" s="286">
        <f t="shared" si="16"/>
        <v>0</v>
      </c>
      <c r="K106" s="285">
        <f t="shared" si="17"/>
        <v>0</v>
      </c>
    </row>
    <row r="107" spans="2:19" hidden="1">
      <c r="B107" s="358">
        <f t="shared" si="12"/>
        <v>0</v>
      </c>
      <c r="C107" s="285">
        <f t="shared" si="12"/>
        <v>0</v>
      </c>
      <c r="D107" s="355" t="str">
        <f t="shared" si="18"/>
        <v>All</v>
      </c>
      <c r="E107" s="285"/>
      <c r="F107" s="285" t="str">
        <f t="shared" si="13"/>
        <v>All0</v>
      </c>
      <c r="G107" s="314">
        <f t="shared" si="14"/>
        <v>0</v>
      </c>
      <c r="H107" s="285">
        <f t="shared" si="15"/>
        <v>0</v>
      </c>
      <c r="I107" s="285">
        <f t="shared" si="19"/>
        <v>0</v>
      </c>
      <c r="J107" s="286">
        <f t="shared" si="16"/>
        <v>0</v>
      </c>
      <c r="K107" s="285">
        <f t="shared" si="17"/>
        <v>0</v>
      </c>
    </row>
    <row r="108" spans="2:19" hidden="1">
      <c r="B108" s="358">
        <f t="shared" si="12"/>
        <v>0</v>
      </c>
      <c r="C108" s="285">
        <f t="shared" si="12"/>
        <v>0</v>
      </c>
      <c r="D108" s="355" t="str">
        <f t="shared" si="18"/>
        <v>All</v>
      </c>
      <c r="E108" s="285"/>
      <c r="F108" s="285" t="str">
        <f t="shared" si="13"/>
        <v>All0</v>
      </c>
      <c r="G108" s="314">
        <f t="shared" si="14"/>
        <v>0</v>
      </c>
      <c r="H108" s="285">
        <f t="shared" si="15"/>
        <v>0</v>
      </c>
      <c r="I108" s="285">
        <f t="shared" si="19"/>
        <v>0</v>
      </c>
      <c r="J108" s="286">
        <f t="shared" si="16"/>
        <v>0</v>
      </c>
      <c r="K108" s="285">
        <f t="shared" si="17"/>
        <v>0</v>
      </c>
    </row>
    <row r="109" spans="2:19" hidden="1">
      <c r="B109" s="358">
        <f t="shared" si="12"/>
        <v>0</v>
      </c>
      <c r="C109" s="285">
        <f t="shared" si="12"/>
        <v>0</v>
      </c>
      <c r="D109" s="355" t="str">
        <f t="shared" si="18"/>
        <v>All</v>
      </c>
      <c r="E109" s="285"/>
      <c r="F109" s="285" t="str">
        <f t="shared" si="13"/>
        <v>All0</v>
      </c>
      <c r="G109" s="314">
        <f t="shared" si="14"/>
        <v>0</v>
      </c>
      <c r="H109" s="285">
        <f t="shared" si="15"/>
        <v>0</v>
      </c>
      <c r="I109" s="285">
        <f t="shared" si="19"/>
        <v>0</v>
      </c>
      <c r="J109" s="286">
        <f t="shared" si="16"/>
        <v>0</v>
      </c>
      <c r="K109" s="285">
        <f t="shared" si="17"/>
        <v>0</v>
      </c>
    </row>
    <row r="110" spans="2:19" ht="13.5" hidden="1" customHeight="1">
      <c r="B110" s="358">
        <f t="shared" si="12"/>
        <v>0</v>
      </c>
      <c r="C110" s="285">
        <f t="shared" si="12"/>
        <v>0</v>
      </c>
      <c r="D110" s="355" t="str">
        <f t="shared" si="18"/>
        <v>All</v>
      </c>
      <c r="E110" s="285"/>
      <c r="F110" s="285" t="str">
        <f t="shared" si="13"/>
        <v>All0</v>
      </c>
      <c r="G110" s="314">
        <f t="shared" si="14"/>
        <v>0</v>
      </c>
      <c r="H110" s="285">
        <f t="shared" si="15"/>
        <v>0</v>
      </c>
      <c r="I110" s="285">
        <f t="shared" si="19"/>
        <v>0</v>
      </c>
      <c r="J110" s="286">
        <f t="shared" si="16"/>
        <v>0</v>
      </c>
      <c r="K110" s="285">
        <f t="shared" si="17"/>
        <v>0</v>
      </c>
    </row>
    <row r="111" spans="2:19" hidden="1">
      <c r="B111" s="358">
        <f t="shared" si="12"/>
        <v>0</v>
      </c>
      <c r="C111" s="285">
        <f t="shared" si="12"/>
        <v>0</v>
      </c>
      <c r="D111" s="355" t="str">
        <f t="shared" si="18"/>
        <v>All</v>
      </c>
      <c r="E111" s="285"/>
      <c r="F111" s="285" t="str">
        <f t="shared" si="13"/>
        <v>All0</v>
      </c>
      <c r="G111" s="314">
        <f t="shared" si="14"/>
        <v>0</v>
      </c>
      <c r="H111" s="285">
        <f t="shared" si="15"/>
        <v>0</v>
      </c>
      <c r="I111" s="285">
        <f t="shared" si="19"/>
        <v>0</v>
      </c>
      <c r="J111" s="286">
        <f t="shared" si="16"/>
        <v>0</v>
      </c>
      <c r="K111" s="285">
        <f t="shared" si="17"/>
        <v>0</v>
      </c>
    </row>
    <row r="112" spans="2:19" hidden="1">
      <c r="B112" s="358">
        <f t="shared" si="12"/>
        <v>0</v>
      </c>
      <c r="C112" s="285">
        <f t="shared" si="12"/>
        <v>0</v>
      </c>
      <c r="D112" s="355" t="str">
        <f t="shared" si="18"/>
        <v>All</v>
      </c>
      <c r="E112" s="285"/>
      <c r="F112" s="285" t="str">
        <f t="shared" si="13"/>
        <v>All0</v>
      </c>
      <c r="G112" s="314">
        <f t="shared" si="14"/>
        <v>0</v>
      </c>
      <c r="H112" s="285">
        <f t="shared" si="15"/>
        <v>0</v>
      </c>
      <c r="I112" s="285">
        <f t="shared" si="19"/>
        <v>0</v>
      </c>
      <c r="J112" s="286">
        <f t="shared" si="16"/>
        <v>0</v>
      </c>
      <c r="K112" s="285">
        <f t="shared" si="17"/>
        <v>0</v>
      </c>
    </row>
    <row r="113" spans="1:31" hidden="1">
      <c r="B113" s="358">
        <f t="shared" si="12"/>
        <v>0</v>
      </c>
      <c r="C113" s="285">
        <f t="shared" si="12"/>
        <v>0</v>
      </c>
      <c r="D113" s="355" t="str">
        <f t="shared" si="18"/>
        <v>All</v>
      </c>
      <c r="E113" s="285"/>
      <c r="F113" s="285" t="str">
        <f t="shared" si="13"/>
        <v>All0</v>
      </c>
      <c r="G113" s="314">
        <f t="shared" si="14"/>
        <v>0</v>
      </c>
      <c r="H113" s="285">
        <f t="shared" si="15"/>
        <v>0</v>
      </c>
      <c r="I113" s="285">
        <f t="shared" si="19"/>
        <v>0</v>
      </c>
      <c r="J113" s="286">
        <f t="shared" si="16"/>
        <v>0</v>
      </c>
      <c r="K113" s="285">
        <f t="shared" si="17"/>
        <v>0</v>
      </c>
    </row>
    <row r="114" spans="1:31" hidden="1">
      <c r="B114" s="358">
        <f t="shared" si="12"/>
        <v>0</v>
      </c>
      <c r="C114" s="285">
        <f t="shared" si="12"/>
        <v>0</v>
      </c>
      <c r="D114" s="355" t="str">
        <f t="shared" si="18"/>
        <v>All</v>
      </c>
      <c r="E114" s="285"/>
      <c r="F114" s="285" t="str">
        <f t="shared" si="13"/>
        <v>All0</v>
      </c>
      <c r="G114" s="314">
        <f t="shared" si="14"/>
        <v>0</v>
      </c>
      <c r="H114" s="285">
        <f t="shared" si="15"/>
        <v>0</v>
      </c>
      <c r="I114" s="285">
        <f t="shared" si="19"/>
        <v>0</v>
      </c>
      <c r="J114" s="286">
        <f t="shared" si="16"/>
        <v>0</v>
      </c>
      <c r="K114" s="285">
        <f t="shared" si="17"/>
        <v>0</v>
      </c>
    </row>
    <row r="115" spans="1:31" hidden="1">
      <c r="B115" s="358">
        <f t="shared" si="12"/>
        <v>0</v>
      </c>
      <c r="C115" s="285">
        <f t="shared" si="12"/>
        <v>0</v>
      </c>
      <c r="D115" s="355" t="str">
        <f t="shared" si="18"/>
        <v>All</v>
      </c>
      <c r="E115" s="285"/>
      <c r="F115" s="285" t="str">
        <f t="shared" si="13"/>
        <v>All0</v>
      </c>
      <c r="G115" s="314">
        <f t="shared" si="14"/>
        <v>0</v>
      </c>
      <c r="H115" s="285">
        <f t="shared" si="15"/>
        <v>0</v>
      </c>
      <c r="I115" s="285">
        <f t="shared" si="19"/>
        <v>0</v>
      </c>
      <c r="J115" s="286">
        <f t="shared" si="16"/>
        <v>0</v>
      </c>
      <c r="K115" s="285">
        <f t="shared" si="17"/>
        <v>0</v>
      </c>
    </row>
    <row r="116" spans="1:31" hidden="1">
      <c r="B116" s="287" t="s">
        <v>454</v>
      </c>
      <c r="C116" s="1580" t="s">
        <v>455</v>
      </c>
      <c r="D116" s="1581"/>
      <c r="E116" s="663"/>
      <c r="F116" s="285"/>
      <c r="G116" s="314"/>
      <c r="H116" s="285"/>
      <c r="I116" s="285"/>
      <c r="J116" s="286"/>
      <c r="K116" s="285"/>
    </row>
    <row r="117" spans="1:31" hidden="1">
      <c r="B117" s="358" t="str">
        <f>B27</f>
        <v>Others</v>
      </c>
      <c r="C117" s="285"/>
      <c r="D117" s="285" t="str">
        <f>IF(B117="Bumper",B117,"All")</f>
        <v>All</v>
      </c>
      <c r="E117" s="285"/>
      <c r="F117" s="285" t="str">
        <f>D117&amp;C117</f>
        <v>All</v>
      </c>
      <c r="G117" s="314">
        <v>0</v>
      </c>
      <c r="H117" s="285">
        <f>IF(F27&lt;&gt;"",F27,0)</f>
        <v>0</v>
      </c>
      <c r="I117" s="285">
        <f>ROUND(H117*(100-G117)/100,0)</f>
        <v>0</v>
      </c>
      <c r="J117" s="286">
        <f>IF($C$83="Yes",I117,ROUND(I117*0.75,0))</f>
        <v>0</v>
      </c>
      <c r="K117" s="285">
        <f>IF($C$83="Yes",0,ROUND(I117*0.25,0))</f>
        <v>0</v>
      </c>
    </row>
    <row r="118" spans="1:31" hidden="1">
      <c r="B118" s="358" t="str">
        <f>B28</f>
        <v>Others</v>
      </c>
      <c r="C118" s="285"/>
      <c r="D118" s="285" t="str">
        <f>IF(B118="Bumper",B118,"All")</f>
        <v>All</v>
      </c>
      <c r="E118" s="285"/>
      <c r="F118" s="285" t="str">
        <f>D118&amp;C118</f>
        <v>All</v>
      </c>
      <c r="G118" s="314">
        <v>0</v>
      </c>
      <c r="H118" s="285">
        <f>IF(F28&lt;&gt;"",F28,0)</f>
        <v>0</v>
      </c>
      <c r="I118" s="285">
        <f>ROUND(H118*(100-G118)/100,0)</f>
        <v>0</v>
      </c>
      <c r="J118" s="286">
        <f>IF($C$83="Yes",I118,ROUND(I118*0.75,0))</f>
        <v>0</v>
      </c>
      <c r="K118" s="285">
        <f>IF($C$83="Yes",0,ROUND(I118*0.25,0))</f>
        <v>0</v>
      </c>
    </row>
    <row r="119" spans="1:31" hidden="1">
      <c r="B119" s="358" t="str">
        <f>B29</f>
        <v>Others</v>
      </c>
      <c r="C119" s="285"/>
      <c r="D119" s="285" t="str">
        <f t="shared" ref="D119:D121" si="20">IF(B119="Bumper",B119,"All")</f>
        <v>All</v>
      </c>
      <c r="E119" s="285"/>
      <c r="F119" s="285" t="str">
        <f>D119&amp;C119</f>
        <v>All</v>
      </c>
      <c r="G119" s="314">
        <v>0</v>
      </c>
      <c r="H119" s="285">
        <f>IF(F29&lt;&gt;"",F29,0)</f>
        <v>0</v>
      </c>
      <c r="I119" s="285">
        <f t="shared" si="19"/>
        <v>0</v>
      </c>
      <c r="J119" s="286">
        <f t="shared" si="16"/>
        <v>0</v>
      </c>
      <c r="K119" s="285">
        <f t="shared" si="17"/>
        <v>0</v>
      </c>
    </row>
    <row r="120" spans="1:31" hidden="1">
      <c r="B120" s="358" t="str">
        <f>B30</f>
        <v>Others</v>
      </c>
      <c r="C120" s="285"/>
      <c r="D120" s="285" t="str">
        <f t="shared" si="20"/>
        <v>All</v>
      </c>
      <c r="E120" s="285"/>
      <c r="F120" s="285" t="str">
        <f>D120&amp;C120</f>
        <v>All</v>
      </c>
      <c r="G120" s="314">
        <v>0</v>
      </c>
      <c r="H120" s="285">
        <f>IF(F30&lt;&gt;"",F30,0)</f>
        <v>0</v>
      </c>
      <c r="I120" s="285">
        <f t="shared" si="19"/>
        <v>0</v>
      </c>
      <c r="J120" s="286">
        <f t="shared" si="16"/>
        <v>0</v>
      </c>
      <c r="K120" s="285">
        <f t="shared" si="17"/>
        <v>0</v>
      </c>
    </row>
    <row r="121" spans="1:31" ht="15.75" hidden="1" thickBot="1">
      <c r="B121" s="359" t="str">
        <f>B31</f>
        <v>Others</v>
      </c>
      <c r="C121" s="291"/>
      <c r="D121" s="291" t="str">
        <f t="shared" si="20"/>
        <v>All</v>
      </c>
      <c r="E121" s="291"/>
      <c r="F121" s="291" t="str">
        <f>D121&amp;C121</f>
        <v>All</v>
      </c>
      <c r="G121" s="360">
        <v>0</v>
      </c>
      <c r="H121" s="361">
        <f>IF(D31&lt;&gt;"",D31,0)</f>
        <v>0</v>
      </c>
      <c r="I121" s="361">
        <f t="shared" si="19"/>
        <v>0</v>
      </c>
      <c r="J121" s="362">
        <f t="shared" si="16"/>
        <v>0</v>
      </c>
      <c r="K121" s="361">
        <f t="shared" si="17"/>
        <v>0</v>
      </c>
    </row>
    <row r="122" spans="1:31" ht="15.75" hidden="1" thickBot="1">
      <c r="G122" s="363" t="s">
        <v>456</v>
      </c>
      <c r="H122" s="364">
        <f>SUM(H102:H121)</f>
        <v>11695</v>
      </c>
      <c r="I122" s="364">
        <f>SUM(I102:I121)</f>
        <v>10161</v>
      </c>
      <c r="J122" s="365">
        <f>SUM(J102:J121)</f>
        <v>7622</v>
      </c>
      <c r="K122" s="364">
        <f>SUM(K102:K121)</f>
        <v>2541</v>
      </c>
    </row>
    <row r="123" spans="1:31" hidden="1"/>
    <row r="124" spans="1:31" ht="13.5" hidden="1" customHeight="1"/>
    <row r="125" spans="1:31" s="782" customFormat="1" hidden="1">
      <c r="A125" s="779" t="s">
        <v>781</v>
      </c>
      <c r="B125" s="780" t="s">
        <v>752</v>
      </c>
      <c r="C125" s="781"/>
      <c r="D125" s="781"/>
      <c r="E125" s="781"/>
      <c r="F125" s="781"/>
      <c r="G125" s="781"/>
      <c r="H125" s="781"/>
      <c r="I125" s="781"/>
      <c r="J125" s="781"/>
      <c r="K125" s="781"/>
      <c r="L125" s="781"/>
      <c r="M125" s="781"/>
      <c r="N125" s="781"/>
      <c r="O125" s="781"/>
      <c r="P125" s="781"/>
      <c r="Q125" s="781"/>
      <c r="R125" s="781"/>
      <c r="S125" s="781"/>
      <c r="T125" s="781"/>
      <c r="U125" s="781"/>
      <c r="V125" s="781"/>
      <c r="W125" s="781"/>
      <c r="X125" s="781"/>
      <c r="Y125" s="781"/>
      <c r="Z125" s="781"/>
      <c r="AA125" s="781"/>
      <c r="AB125" s="781"/>
      <c r="AC125" s="781"/>
      <c r="AD125" s="781"/>
      <c r="AE125" s="781"/>
    </row>
    <row r="126" spans="1:31" s="782" customFormat="1" ht="25.5" hidden="1">
      <c r="A126" s="779"/>
      <c r="B126" s="783" t="s">
        <v>499</v>
      </c>
      <c r="C126" s="783" t="s">
        <v>753</v>
      </c>
      <c r="D126" s="783" t="s">
        <v>754</v>
      </c>
      <c r="E126" s="783" t="s">
        <v>755</v>
      </c>
      <c r="F126" s="783" t="s">
        <v>461</v>
      </c>
      <c r="G126" s="784" t="s">
        <v>756</v>
      </c>
      <c r="H126" s="783" t="s">
        <v>757</v>
      </c>
      <c r="I126" s="783" t="s">
        <v>462</v>
      </c>
      <c r="J126" s="783" t="s">
        <v>463</v>
      </c>
      <c r="K126" s="783" t="s">
        <v>758</v>
      </c>
      <c r="L126" s="785" t="s">
        <v>793</v>
      </c>
      <c r="M126" s="783" t="s">
        <v>759</v>
      </c>
      <c r="N126" s="783" t="s">
        <v>465</v>
      </c>
      <c r="O126" s="783" t="s">
        <v>466</v>
      </c>
      <c r="P126" s="783" t="s">
        <v>469</v>
      </c>
      <c r="Q126" s="783" t="s">
        <v>470</v>
      </c>
      <c r="R126" s="783" t="s">
        <v>760</v>
      </c>
      <c r="S126" s="783" t="s">
        <v>468</v>
      </c>
      <c r="T126" s="783" t="s">
        <v>761</v>
      </c>
      <c r="U126" s="783" t="s">
        <v>762</v>
      </c>
      <c r="V126" s="783" t="s">
        <v>464</v>
      </c>
      <c r="W126" s="783" t="s">
        <v>763</v>
      </c>
      <c r="X126" s="783" t="s">
        <v>764</v>
      </c>
      <c r="Y126" s="783" t="s">
        <v>467</v>
      </c>
      <c r="Z126" s="783"/>
      <c r="AA126" s="783" t="s">
        <v>765</v>
      </c>
      <c r="AB126" s="783"/>
      <c r="AC126" s="783" t="s">
        <v>766</v>
      </c>
      <c r="AD126" s="783"/>
    </row>
    <row r="127" spans="1:31" s="782" customFormat="1" hidden="1">
      <c r="A127" s="779" t="str">
        <f>"MA1"&amp;B127</f>
        <v>MA1Front Bumper</v>
      </c>
      <c r="B127" s="786" t="s">
        <v>767</v>
      </c>
      <c r="C127" s="778">
        <v>3775</v>
      </c>
      <c r="D127" s="778">
        <v>4020</v>
      </c>
      <c r="E127" s="778">
        <v>4480</v>
      </c>
      <c r="F127" s="778">
        <v>4295</v>
      </c>
      <c r="G127" s="778">
        <v>3870</v>
      </c>
      <c r="H127" s="778">
        <v>4610</v>
      </c>
      <c r="I127" s="778">
        <v>4720</v>
      </c>
      <c r="J127" s="778">
        <v>4670</v>
      </c>
      <c r="K127" s="778">
        <v>4670</v>
      </c>
      <c r="L127" s="778">
        <v>4260</v>
      </c>
      <c r="M127" s="778">
        <v>5260</v>
      </c>
      <c r="N127" s="778">
        <v>4295</v>
      </c>
      <c r="O127" s="778">
        <v>4700</v>
      </c>
      <c r="P127" s="778">
        <v>4450</v>
      </c>
      <c r="Q127" s="778">
        <v>5010</v>
      </c>
      <c r="R127" s="778">
        <v>4570</v>
      </c>
      <c r="S127" s="778">
        <v>3870</v>
      </c>
      <c r="T127" s="778">
        <v>3290</v>
      </c>
      <c r="U127" s="778">
        <v>4090</v>
      </c>
      <c r="V127" s="778">
        <v>4450</v>
      </c>
      <c r="W127" s="778">
        <v>4600</v>
      </c>
      <c r="X127" s="778"/>
      <c r="Y127" s="778" t="s">
        <v>476</v>
      </c>
      <c r="Z127" s="778"/>
      <c r="AA127" s="778" t="s">
        <v>476</v>
      </c>
      <c r="AB127" s="778"/>
      <c r="AC127" s="778" t="s">
        <v>476</v>
      </c>
      <c r="AD127" s="778"/>
    </row>
    <row r="128" spans="1:31" s="782" customFormat="1" hidden="1">
      <c r="A128" s="779" t="str">
        <f t="shared" ref="A128:A135" si="21">"MA1"&amp;B128</f>
        <v>MA1Rear Bumper</v>
      </c>
      <c r="B128" s="786" t="s">
        <v>768</v>
      </c>
      <c r="C128" s="778">
        <v>3775</v>
      </c>
      <c r="D128" s="778">
        <v>3820</v>
      </c>
      <c r="E128" s="778">
        <v>3950</v>
      </c>
      <c r="F128" s="778">
        <v>4630</v>
      </c>
      <c r="G128" s="778">
        <v>3750</v>
      </c>
      <c r="H128" s="778">
        <v>4160</v>
      </c>
      <c r="I128" s="778">
        <v>4300</v>
      </c>
      <c r="J128" s="778">
        <v>4670</v>
      </c>
      <c r="K128" s="778">
        <v>4670</v>
      </c>
      <c r="L128" s="778">
        <v>3645</v>
      </c>
      <c r="M128" s="778">
        <v>5260</v>
      </c>
      <c r="N128" s="778">
        <v>5110</v>
      </c>
      <c r="O128" s="778">
        <v>4700</v>
      </c>
      <c r="P128" s="778">
        <v>4950</v>
      </c>
      <c r="Q128" s="778">
        <v>5310</v>
      </c>
      <c r="R128" s="778">
        <v>4600</v>
      </c>
      <c r="S128" s="778">
        <v>4070</v>
      </c>
      <c r="T128" s="778">
        <v>3240</v>
      </c>
      <c r="U128" s="778">
        <v>3400</v>
      </c>
      <c r="V128" s="778">
        <v>4450</v>
      </c>
      <c r="W128" s="778">
        <v>4600</v>
      </c>
      <c r="X128" s="778"/>
      <c r="Y128" s="778" t="s">
        <v>476</v>
      </c>
      <c r="Z128" s="787"/>
      <c r="AA128" s="778" t="s">
        <v>476</v>
      </c>
      <c r="AB128" s="787"/>
      <c r="AC128" s="778" t="s">
        <v>476</v>
      </c>
      <c r="AD128" s="787"/>
    </row>
    <row r="129" spans="1:31" s="782" customFormat="1" hidden="1">
      <c r="A129" s="779" t="str">
        <f t="shared" si="21"/>
        <v>MA1Bonnet</v>
      </c>
      <c r="B129" s="786" t="s">
        <v>472</v>
      </c>
      <c r="C129" s="778">
        <v>4120</v>
      </c>
      <c r="D129" s="778">
        <v>4590</v>
      </c>
      <c r="E129" s="778">
        <v>4105</v>
      </c>
      <c r="F129" s="778">
        <v>4390</v>
      </c>
      <c r="G129" s="778">
        <v>4040</v>
      </c>
      <c r="H129" s="778">
        <v>3840</v>
      </c>
      <c r="I129" s="778">
        <v>4290</v>
      </c>
      <c r="J129" s="778">
        <v>4580</v>
      </c>
      <c r="K129" s="778">
        <v>4580</v>
      </c>
      <c r="L129" s="778">
        <v>3820</v>
      </c>
      <c r="M129" s="778">
        <v>6290</v>
      </c>
      <c r="N129" s="778">
        <v>4845</v>
      </c>
      <c r="O129" s="778">
        <v>5460</v>
      </c>
      <c r="P129" s="778">
        <v>5220</v>
      </c>
      <c r="Q129" s="778">
        <v>5650</v>
      </c>
      <c r="R129" s="778">
        <v>4800</v>
      </c>
      <c r="S129" s="778">
        <v>4450</v>
      </c>
      <c r="T129" s="778">
        <v>5110</v>
      </c>
      <c r="U129" s="778">
        <v>4440</v>
      </c>
      <c r="V129" s="778">
        <v>4950</v>
      </c>
      <c r="W129" s="778">
        <v>5780</v>
      </c>
      <c r="X129" s="778">
        <v>3870</v>
      </c>
      <c r="Y129" s="778" t="s">
        <v>769</v>
      </c>
      <c r="Z129" s="778">
        <v>4650</v>
      </c>
      <c r="AA129" s="778" t="s">
        <v>769</v>
      </c>
      <c r="AB129" s="778">
        <v>4370</v>
      </c>
      <c r="AC129" s="778" t="s">
        <v>472</v>
      </c>
      <c r="AD129" s="778">
        <v>5240</v>
      </c>
    </row>
    <row r="130" spans="1:31" s="782" customFormat="1" hidden="1">
      <c r="A130" s="779" t="str">
        <f t="shared" si="21"/>
        <v>MA1Fender</v>
      </c>
      <c r="B130" s="786" t="s">
        <v>473</v>
      </c>
      <c r="C130" s="778">
        <v>3090</v>
      </c>
      <c r="D130" s="778">
        <v>3050</v>
      </c>
      <c r="E130" s="778">
        <v>3170</v>
      </c>
      <c r="F130" s="778">
        <v>3190</v>
      </c>
      <c r="G130" s="778">
        <v>3100</v>
      </c>
      <c r="H130" s="778">
        <v>3090</v>
      </c>
      <c r="I130" s="778">
        <v>3040</v>
      </c>
      <c r="J130" s="778">
        <v>3240</v>
      </c>
      <c r="K130" s="778">
        <v>3240</v>
      </c>
      <c r="L130" s="778">
        <v>3330</v>
      </c>
      <c r="M130" s="778">
        <v>3360</v>
      </c>
      <c r="N130" s="778">
        <v>3590</v>
      </c>
      <c r="O130" s="778">
        <v>3305</v>
      </c>
      <c r="P130" s="778">
        <v>3075</v>
      </c>
      <c r="Q130" s="778">
        <v>3200</v>
      </c>
      <c r="R130" s="778">
        <v>3100</v>
      </c>
      <c r="S130" s="778">
        <v>3130</v>
      </c>
      <c r="T130" s="778">
        <v>2940</v>
      </c>
      <c r="U130" s="778">
        <v>2980</v>
      </c>
      <c r="V130" s="778">
        <v>3250</v>
      </c>
      <c r="W130" s="778">
        <v>3250</v>
      </c>
      <c r="X130" s="778">
        <v>3020</v>
      </c>
      <c r="Y130" s="778" t="s">
        <v>770</v>
      </c>
      <c r="Z130" s="778">
        <v>3830</v>
      </c>
      <c r="AA130" s="778" t="s">
        <v>770</v>
      </c>
      <c r="AB130" s="778">
        <v>2460</v>
      </c>
      <c r="AC130" s="778" t="s">
        <v>473</v>
      </c>
      <c r="AD130" s="778">
        <v>2940</v>
      </c>
    </row>
    <row r="131" spans="1:31" s="782" customFormat="1" hidden="1">
      <c r="A131" s="779" t="str">
        <f t="shared" si="21"/>
        <v>MA1Front Door</v>
      </c>
      <c r="B131" s="786" t="s">
        <v>770</v>
      </c>
      <c r="C131" s="778">
        <v>4040</v>
      </c>
      <c r="D131" s="778">
        <v>4040</v>
      </c>
      <c r="E131" s="778">
        <v>4040</v>
      </c>
      <c r="F131" s="778">
        <v>4420</v>
      </c>
      <c r="G131" s="778">
        <v>4310</v>
      </c>
      <c r="H131" s="778">
        <v>4190</v>
      </c>
      <c r="I131" s="778">
        <v>4310</v>
      </c>
      <c r="J131" s="778">
        <v>4430</v>
      </c>
      <c r="K131" s="778">
        <v>4430</v>
      </c>
      <c r="L131" s="778">
        <v>4210</v>
      </c>
      <c r="M131" s="778">
        <v>4630</v>
      </c>
      <c r="N131" s="778">
        <v>4200</v>
      </c>
      <c r="O131" s="778">
        <v>4340</v>
      </c>
      <c r="P131" s="778">
        <v>4300</v>
      </c>
      <c r="Q131" s="778">
        <v>4350</v>
      </c>
      <c r="R131" s="778">
        <v>4310</v>
      </c>
      <c r="S131" s="778">
        <v>4240</v>
      </c>
      <c r="T131" s="778">
        <v>4360</v>
      </c>
      <c r="U131" s="778">
        <v>4310</v>
      </c>
      <c r="V131" s="778">
        <v>4005</v>
      </c>
      <c r="W131" s="778">
        <v>4380</v>
      </c>
      <c r="X131" s="778">
        <v>3900</v>
      </c>
      <c r="Y131" s="778" t="s">
        <v>771</v>
      </c>
      <c r="Z131" s="778">
        <v>3960</v>
      </c>
      <c r="AA131" s="778" t="s">
        <v>473</v>
      </c>
      <c r="AB131" s="778">
        <v>3900</v>
      </c>
      <c r="AC131" s="778" t="s">
        <v>770</v>
      </c>
      <c r="AD131" s="778">
        <v>3840</v>
      </c>
    </row>
    <row r="132" spans="1:31" s="782" customFormat="1" hidden="1">
      <c r="A132" s="779" t="str">
        <f t="shared" si="21"/>
        <v>MA1Rear Door</v>
      </c>
      <c r="B132" s="786" t="s">
        <v>772</v>
      </c>
      <c r="C132" s="778">
        <v>4040</v>
      </c>
      <c r="D132" s="778">
        <v>4040</v>
      </c>
      <c r="E132" s="778">
        <v>4040</v>
      </c>
      <c r="F132" s="778">
        <v>4680</v>
      </c>
      <c r="G132" s="778">
        <v>4310</v>
      </c>
      <c r="H132" s="778">
        <v>4190</v>
      </c>
      <c r="I132" s="778">
        <v>4310</v>
      </c>
      <c r="J132" s="778">
        <v>4430</v>
      </c>
      <c r="K132" s="778">
        <v>4430</v>
      </c>
      <c r="L132" s="778">
        <v>4210</v>
      </c>
      <c r="M132" s="778">
        <v>4630</v>
      </c>
      <c r="N132" s="778">
        <v>4095</v>
      </c>
      <c r="O132" s="778">
        <v>4340</v>
      </c>
      <c r="P132" s="778">
        <v>4200</v>
      </c>
      <c r="Q132" s="778">
        <v>4350</v>
      </c>
      <c r="R132" s="778">
        <v>4010</v>
      </c>
      <c r="S132" s="778">
        <v>4130</v>
      </c>
      <c r="T132" s="778">
        <v>4110</v>
      </c>
      <c r="U132" s="778">
        <v>3990</v>
      </c>
      <c r="V132" s="778">
        <v>4005</v>
      </c>
      <c r="W132" s="778">
        <v>4380</v>
      </c>
      <c r="X132" s="778">
        <v>3900</v>
      </c>
      <c r="Y132" s="778" t="s">
        <v>773</v>
      </c>
      <c r="Z132" s="778">
        <v>4410</v>
      </c>
      <c r="AA132" s="778"/>
      <c r="AB132" s="778"/>
      <c r="AC132" s="778" t="s">
        <v>774</v>
      </c>
      <c r="AD132" s="778">
        <v>4120</v>
      </c>
    </row>
    <row r="133" spans="1:31" s="782" customFormat="1" hidden="1">
      <c r="A133" s="779" t="str">
        <f t="shared" si="21"/>
        <v>MA1Back Door</v>
      </c>
      <c r="B133" s="786" t="s">
        <v>773</v>
      </c>
      <c r="C133" s="778">
        <v>4020</v>
      </c>
      <c r="D133" s="778">
        <v>4020</v>
      </c>
      <c r="E133" s="778">
        <v>4020</v>
      </c>
      <c r="F133" s="778">
        <v>4730</v>
      </c>
      <c r="G133" s="778">
        <v>4390</v>
      </c>
      <c r="H133" s="778">
        <v>3410</v>
      </c>
      <c r="I133" s="778">
        <v>4390</v>
      </c>
      <c r="J133" s="778">
        <v>4040</v>
      </c>
      <c r="K133" s="778">
        <v>4530</v>
      </c>
      <c r="L133" s="778">
        <v>4260</v>
      </c>
      <c r="M133" s="778">
        <v>4680</v>
      </c>
      <c r="N133" s="778">
        <v>4200</v>
      </c>
      <c r="O133" s="778">
        <v>4190</v>
      </c>
      <c r="P133" s="778">
        <v>4360</v>
      </c>
      <c r="Q133" s="778">
        <v>4700</v>
      </c>
      <c r="R133" s="778">
        <v>3900</v>
      </c>
      <c r="S133" s="778">
        <v>4200</v>
      </c>
      <c r="T133" s="778">
        <v>4670</v>
      </c>
      <c r="U133" s="778">
        <v>4670</v>
      </c>
      <c r="V133" s="778">
        <v>4300</v>
      </c>
      <c r="W133" s="778">
        <v>4420</v>
      </c>
      <c r="X133" s="778">
        <v>3800</v>
      </c>
      <c r="Y133" s="788" t="s">
        <v>474</v>
      </c>
      <c r="Z133" s="778">
        <v>8300</v>
      </c>
      <c r="AA133" s="789"/>
      <c r="AB133" s="789"/>
      <c r="AC133" s="789"/>
      <c r="AD133" s="789"/>
    </row>
    <row r="134" spans="1:31" s="782" customFormat="1" hidden="1">
      <c r="A134" s="779" t="str">
        <f t="shared" si="21"/>
        <v>MA1Roof</v>
      </c>
      <c r="B134" s="790" t="s">
        <v>474</v>
      </c>
      <c r="C134" s="778">
        <v>6100</v>
      </c>
      <c r="D134" s="778">
        <v>6100</v>
      </c>
      <c r="E134" s="778">
        <v>6270</v>
      </c>
      <c r="F134" s="778">
        <v>8810</v>
      </c>
      <c r="G134" s="778">
        <v>7120</v>
      </c>
      <c r="H134" s="778">
        <v>6400</v>
      </c>
      <c r="I134" s="778">
        <v>6730</v>
      </c>
      <c r="J134" s="778">
        <v>6270</v>
      </c>
      <c r="K134" s="778">
        <v>6270</v>
      </c>
      <c r="L134" s="778">
        <v>6710</v>
      </c>
      <c r="M134" s="778">
        <v>7390</v>
      </c>
      <c r="N134" s="778">
        <v>6140</v>
      </c>
      <c r="O134" s="778">
        <v>6220</v>
      </c>
      <c r="P134" s="778">
        <v>6150</v>
      </c>
      <c r="Q134" s="778">
        <v>7400</v>
      </c>
      <c r="R134" s="778">
        <v>6900</v>
      </c>
      <c r="S134" s="778">
        <v>6880</v>
      </c>
      <c r="T134" s="778">
        <v>6360</v>
      </c>
      <c r="U134" s="778">
        <v>6560</v>
      </c>
      <c r="V134" s="778">
        <v>6080</v>
      </c>
      <c r="W134" s="778">
        <v>5790</v>
      </c>
      <c r="X134" s="778">
        <v>5830</v>
      </c>
      <c r="Y134" s="778" t="s">
        <v>475</v>
      </c>
      <c r="Z134" s="778">
        <v>30680</v>
      </c>
      <c r="AA134" s="789"/>
      <c r="AB134" s="787"/>
      <c r="AC134" s="787"/>
      <c r="AD134" s="787"/>
    </row>
    <row r="135" spans="1:31" s="782" customFormat="1" hidden="1">
      <c r="A135" s="779" t="str">
        <f t="shared" si="21"/>
        <v>MA1Full Car Painting</v>
      </c>
      <c r="B135" s="786" t="s">
        <v>475</v>
      </c>
      <c r="C135" s="778">
        <v>39050</v>
      </c>
      <c r="D135" s="778">
        <v>39730</v>
      </c>
      <c r="E135" s="778">
        <v>40020</v>
      </c>
      <c r="F135" s="778">
        <v>45000</v>
      </c>
      <c r="G135" s="778">
        <v>41090</v>
      </c>
      <c r="H135" s="778">
        <v>40180</v>
      </c>
      <c r="I135" s="778">
        <v>42000</v>
      </c>
      <c r="J135" s="778">
        <v>42830</v>
      </c>
      <c r="K135" s="778">
        <v>43210</v>
      </c>
      <c r="L135" s="778">
        <v>41180</v>
      </c>
      <c r="M135" s="778">
        <v>47450</v>
      </c>
      <c r="N135" s="778">
        <v>42330</v>
      </c>
      <c r="O135" s="778">
        <v>42345</v>
      </c>
      <c r="P135" s="778">
        <v>42000</v>
      </c>
      <c r="Q135" s="778">
        <v>44910</v>
      </c>
      <c r="R135" s="778">
        <v>41970</v>
      </c>
      <c r="S135" s="778">
        <v>40890</v>
      </c>
      <c r="T135" s="778">
        <v>40090</v>
      </c>
      <c r="U135" s="778">
        <v>40320</v>
      </c>
      <c r="V135" s="778">
        <v>40330</v>
      </c>
      <c r="W135" s="778">
        <v>44670</v>
      </c>
      <c r="X135" s="778">
        <v>32060</v>
      </c>
      <c r="Y135" s="778"/>
      <c r="Z135" s="778"/>
      <c r="AA135" s="789"/>
      <c r="AB135" s="787"/>
      <c r="AC135" s="787"/>
      <c r="AD135" s="787"/>
    </row>
    <row r="136" spans="1:31" hidden="1"/>
    <row r="137" spans="1:31" hidden="1"/>
    <row r="138" spans="1:31" s="782" customFormat="1" hidden="1">
      <c r="A138" s="779" t="s">
        <v>782</v>
      </c>
      <c r="B138" s="791" t="s">
        <v>775</v>
      </c>
      <c r="C138" s="791"/>
      <c r="D138" s="791"/>
      <c r="E138" s="791"/>
      <c r="F138" s="791"/>
      <c r="G138" s="791"/>
      <c r="H138" s="791"/>
      <c r="I138" s="791"/>
      <c r="J138" s="791"/>
      <c r="K138" s="791"/>
      <c r="L138" s="791"/>
      <c r="M138" s="791"/>
      <c r="N138" s="791"/>
      <c r="O138" s="791"/>
      <c r="P138" s="791"/>
      <c r="Q138" s="791"/>
      <c r="R138" s="791"/>
      <c r="S138" s="791"/>
      <c r="T138" s="791"/>
      <c r="U138" s="791"/>
      <c r="V138" s="791"/>
      <c r="W138" s="791"/>
      <c r="X138" s="791"/>
      <c r="Y138" s="791"/>
      <c r="Z138" s="791"/>
      <c r="AA138" s="791"/>
      <c r="AB138" s="791"/>
      <c r="AC138" s="791"/>
      <c r="AD138" s="791"/>
      <c r="AE138" s="791"/>
    </row>
    <row r="139" spans="1:31" s="782" customFormat="1" ht="25.5" hidden="1">
      <c r="A139" s="779"/>
      <c r="B139" s="783" t="s">
        <v>499</v>
      </c>
      <c r="C139" s="783" t="s">
        <v>753</v>
      </c>
      <c r="D139" s="783" t="s">
        <v>754</v>
      </c>
      <c r="E139" s="783" t="s">
        <v>755</v>
      </c>
      <c r="F139" s="783" t="s">
        <v>461</v>
      </c>
      <c r="G139" s="784" t="s">
        <v>756</v>
      </c>
      <c r="H139" s="783" t="s">
        <v>757</v>
      </c>
      <c r="I139" s="783" t="s">
        <v>462</v>
      </c>
      <c r="J139" s="783" t="s">
        <v>463</v>
      </c>
      <c r="K139" s="783" t="s">
        <v>758</v>
      </c>
      <c r="L139" s="785" t="s">
        <v>793</v>
      </c>
      <c r="M139" s="783" t="s">
        <v>759</v>
      </c>
      <c r="N139" s="783" t="s">
        <v>465</v>
      </c>
      <c r="O139" s="783" t="s">
        <v>466</v>
      </c>
      <c r="P139" s="783" t="s">
        <v>469</v>
      </c>
      <c r="Q139" s="783" t="s">
        <v>470</v>
      </c>
      <c r="R139" s="783" t="s">
        <v>760</v>
      </c>
      <c r="S139" s="783" t="s">
        <v>468</v>
      </c>
      <c r="T139" s="783" t="s">
        <v>761</v>
      </c>
      <c r="U139" s="783" t="s">
        <v>762</v>
      </c>
      <c r="V139" s="783" t="s">
        <v>464</v>
      </c>
      <c r="W139" s="783" t="s">
        <v>763</v>
      </c>
      <c r="X139" s="783" t="s">
        <v>764</v>
      </c>
      <c r="Y139" s="783" t="s">
        <v>467</v>
      </c>
      <c r="Z139" s="783"/>
      <c r="AA139" s="783" t="s">
        <v>765</v>
      </c>
      <c r="AB139" s="783"/>
      <c r="AC139" s="783" t="s">
        <v>766</v>
      </c>
      <c r="AD139" s="783"/>
    </row>
    <row r="140" spans="1:31" s="782" customFormat="1" hidden="1">
      <c r="A140" s="779" t="str">
        <f>"MA2"&amp;B140</f>
        <v>MA2Front Bumper</v>
      </c>
      <c r="B140" s="786" t="s">
        <v>767</v>
      </c>
      <c r="C140" s="778">
        <v>3700</v>
      </c>
      <c r="D140" s="778">
        <v>3940</v>
      </c>
      <c r="E140" s="778">
        <v>4390</v>
      </c>
      <c r="F140" s="778">
        <v>4210</v>
      </c>
      <c r="G140" s="778">
        <v>3790</v>
      </c>
      <c r="H140" s="778">
        <v>4520</v>
      </c>
      <c r="I140" s="778">
        <v>4630</v>
      </c>
      <c r="J140" s="778">
        <v>4580</v>
      </c>
      <c r="K140" s="778">
        <v>4580</v>
      </c>
      <c r="L140" s="778">
        <v>4170</v>
      </c>
      <c r="M140" s="778">
        <v>5150</v>
      </c>
      <c r="N140" s="778">
        <v>4210</v>
      </c>
      <c r="O140" s="778">
        <v>4610</v>
      </c>
      <c r="P140" s="778">
        <v>4360</v>
      </c>
      <c r="Q140" s="778">
        <v>4910</v>
      </c>
      <c r="R140" s="778">
        <v>4480</v>
      </c>
      <c r="S140" s="778">
        <v>3790</v>
      </c>
      <c r="T140" s="778">
        <v>3220</v>
      </c>
      <c r="U140" s="778">
        <v>4010</v>
      </c>
      <c r="V140" s="778">
        <v>4360</v>
      </c>
      <c r="W140" s="778">
        <v>4510</v>
      </c>
      <c r="X140" s="788">
        <v>0</v>
      </c>
      <c r="Y140" s="778" t="s">
        <v>476</v>
      </c>
      <c r="Z140" s="778"/>
      <c r="AA140" s="778" t="s">
        <v>476</v>
      </c>
      <c r="AB140" s="778"/>
      <c r="AC140" s="778" t="s">
        <v>476</v>
      </c>
      <c r="AD140" s="778"/>
    </row>
    <row r="141" spans="1:31" s="782" customFormat="1" hidden="1">
      <c r="A141" s="779" t="str">
        <f t="shared" ref="A141:A148" si="22">"MA2"&amp;B141</f>
        <v>MA2Rear Bumper</v>
      </c>
      <c r="B141" s="786" t="s">
        <v>768</v>
      </c>
      <c r="C141" s="778">
        <v>3700</v>
      </c>
      <c r="D141" s="778">
        <v>3740</v>
      </c>
      <c r="E141" s="778">
        <v>3870</v>
      </c>
      <c r="F141" s="778">
        <v>4540</v>
      </c>
      <c r="G141" s="778">
        <v>3680</v>
      </c>
      <c r="H141" s="778">
        <v>4080</v>
      </c>
      <c r="I141" s="778">
        <v>4210</v>
      </c>
      <c r="J141" s="778">
        <v>4580</v>
      </c>
      <c r="K141" s="778">
        <v>4580</v>
      </c>
      <c r="L141" s="778">
        <v>3570</v>
      </c>
      <c r="M141" s="778">
        <v>5150</v>
      </c>
      <c r="N141" s="778">
        <v>5010</v>
      </c>
      <c r="O141" s="778">
        <v>4610</v>
      </c>
      <c r="P141" s="778">
        <v>4850</v>
      </c>
      <c r="Q141" s="778">
        <v>5200</v>
      </c>
      <c r="R141" s="778">
        <v>4510</v>
      </c>
      <c r="S141" s="778">
        <v>3990</v>
      </c>
      <c r="T141" s="778">
        <v>3180</v>
      </c>
      <c r="U141" s="778">
        <v>3330</v>
      </c>
      <c r="V141" s="778">
        <v>4360</v>
      </c>
      <c r="W141" s="778">
        <v>4510</v>
      </c>
      <c r="X141" s="788">
        <v>0</v>
      </c>
      <c r="Y141" s="778" t="s">
        <v>476</v>
      </c>
      <c r="Z141" s="787"/>
      <c r="AA141" s="778" t="s">
        <v>476</v>
      </c>
      <c r="AB141" s="787"/>
      <c r="AC141" s="778" t="s">
        <v>476</v>
      </c>
      <c r="AD141" s="787"/>
    </row>
    <row r="142" spans="1:31" s="782" customFormat="1" hidden="1">
      <c r="A142" s="779" t="str">
        <f t="shared" si="22"/>
        <v>MA2Bonnet</v>
      </c>
      <c r="B142" s="786" t="s">
        <v>472</v>
      </c>
      <c r="C142" s="778">
        <v>4040</v>
      </c>
      <c r="D142" s="778">
        <v>4500</v>
      </c>
      <c r="E142" s="778">
        <v>4025</v>
      </c>
      <c r="F142" s="778">
        <v>4300</v>
      </c>
      <c r="G142" s="778">
        <v>3965</v>
      </c>
      <c r="H142" s="778">
        <v>3760</v>
      </c>
      <c r="I142" s="778">
        <v>4200</v>
      </c>
      <c r="J142" s="778">
        <v>4490</v>
      </c>
      <c r="K142" s="778">
        <v>4490</v>
      </c>
      <c r="L142" s="778">
        <v>3740</v>
      </c>
      <c r="M142" s="778">
        <v>6160</v>
      </c>
      <c r="N142" s="778">
        <v>4745</v>
      </c>
      <c r="O142" s="778">
        <v>5350</v>
      </c>
      <c r="P142" s="778">
        <v>5120</v>
      </c>
      <c r="Q142" s="778">
        <v>5545</v>
      </c>
      <c r="R142" s="778">
        <v>4700</v>
      </c>
      <c r="S142" s="778">
        <v>4360</v>
      </c>
      <c r="T142" s="778">
        <v>5010</v>
      </c>
      <c r="U142" s="778">
        <v>4350</v>
      </c>
      <c r="V142" s="778">
        <v>4855</v>
      </c>
      <c r="W142" s="778">
        <v>5660</v>
      </c>
      <c r="X142" s="778">
        <v>3795</v>
      </c>
      <c r="Y142" s="778" t="s">
        <v>769</v>
      </c>
      <c r="Z142" s="778">
        <v>4560</v>
      </c>
      <c r="AA142" s="778" t="s">
        <v>769</v>
      </c>
      <c r="AB142" s="778">
        <v>4280</v>
      </c>
      <c r="AC142" s="778" t="s">
        <v>472</v>
      </c>
      <c r="AD142" s="778">
        <v>5140</v>
      </c>
    </row>
    <row r="143" spans="1:31" s="782" customFormat="1" hidden="1">
      <c r="A143" s="779" t="str">
        <f t="shared" si="22"/>
        <v>MA2Fender</v>
      </c>
      <c r="B143" s="786" t="s">
        <v>473</v>
      </c>
      <c r="C143" s="778">
        <v>3030</v>
      </c>
      <c r="D143" s="778">
        <v>2990</v>
      </c>
      <c r="E143" s="778">
        <v>3110</v>
      </c>
      <c r="F143" s="778">
        <v>3130</v>
      </c>
      <c r="G143" s="778">
        <v>3040</v>
      </c>
      <c r="H143" s="778">
        <v>3030</v>
      </c>
      <c r="I143" s="778">
        <v>2980</v>
      </c>
      <c r="J143" s="778">
        <v>3180</v>
      </c>
      <c r="K143" s="778">
        <v>3180</v>
      </c>
      <c r="L143" s="778">
        <v>3260</v>
      </c>
      <c r="M143" s="778">
        <v>3290</v>
      </c>
      <c r="N143" s="778">
        <v>3520</v>
      </c>
      <c r="O143" s="778">
        <v>3245</v>
      </c>
      <c r="P143" s="778">
        <v>3015</v>
      </c>
      <c r="Q143" s="778">
        <v>3140</v>
      </c>
      <c r="R143" s="778">
        <v>3040</v>
      </c>
      <c r="S143" s="778">
        <v>3070</v>
      </c>
      <c r="T143" s="778">
        <v>2880</v>
      </c>
      <c r="U143" s="778">
        <v>2920</v>
      </c>
      <c r="V143" s="778">
        <v>3190</v>
      </c>
      <c r="W143" s="778">
        <v>3190</v>
      </c>
      <c r="X143" s="778">
        <v>2960</v>
      </c>
      <c r="Y143" s="778" t="s">
        <v>770</v>
      </c>
      <c r="Z143" s="778">
        <v>3750</v>
      </c>
      <c r="AA143" s="778" t="s">
        <v>770</v>
      </c>
      <c r="AB143" s="778">
        <v>2410</v>
      </c>
      <c r="AC143" s="778" t="s">
        <v>473</v>
      </c>
      <c r="AD143" s="778">
        <v>2880</v>
      </c>
    </row>
    <row r="144" spans="1:31" s="782" customFormat="1" hidden="1">
      <c r="A144" s="779" t="str">
        <f t="shared" si="22"/>
        <v>MA2Front Door</v>
      </c>
      <c r="B144" s="786" t="s">
        <v>770</v>
      </c>
      <c r="C144" s="778">
        <v>3960</v>
      </c>
      <c r="D144" s="778">
        <v>3960</v>
      </c>
      <c r="E144" s="778">
        <v>3960</v>
      </c>
      <c r="F144" s="778">
        <v>4330</v>
      </c>
      <c r="G144" s="778">
        <v>4220</v>
      </c>
      <c r="H144" s="778">
        <v>4110</v>
      </c>
      <c r="I144" s="778">
        <v>4220</v>
      </c>
      <c r="J144" s="778">
        <v>4340</v>
      </c>
      <c r="K144" s="778">
        <v>4340</v>
      </c>
      <c r="L144" s="778">
        <v>4130</v>
      </c>
      <c r="M144" s="778">
        <v>4540</v>
      </c>
      <c r="N144" s="778">
        <v>4120</v>
      </c>
      <c r="O144" s="778">
        <v>4250</v>
      </c>
      <c r="P144" s="778">
        <v>4210</v>
      </c>
      <c r="Q144" s="778">
        <v>4260</v>
      </c>
      <c r="R144" s="778">
        <v>4220</v>
      </c>
      <c r="S144" s="778">
        <v>4160</v>
      </c>
      <c r="T144" s="778">
        <v>4270</v>
      </c>
      <c r="U144" s="778">
        <v>4220</v>
      </c>
      <c r="V144" s="778">
        <v>3930</v>
      </c>
      <c r="W144" s="778">
        <v>4290</v>
      </c>
      <c r="X144" s="778">
        <v>3820</v>
      </c>
      <c r="Y144" s="778" t="s">
        <v>771</v>
      </c>
      <c r="Z144" s="778">
        <v>3880</v>
      </c>
      <c r="AA144" s="778" t="s">
        <v>473</v>
      </c>
      <c r="AB144" s="778">
        <v>3820</v>
      </c>
      <c r="AC144" s="778" t="s">
        <v>770</v>
      </c>
      <c r="AD144" s="778">
        <v>3760</v>
      </c>
    </row>
    <row r="145" spans="1:31" s="782" customFormat="1" hidden="1">
      <c r="A145" s="779" t="str">
        <f t="shared" si="22"/>
        <v>MA2Rear Door</v>
      </c>
      <c r="B145" s="786" t="s">
        <v>772</v>
      </c>
      <c r="C145" s="778">
        <v>3960</v>
      </c>
      <c r="D145" s="778">
        <v>3960</v>
      </c>
      <c r="E145" s="778">
        <v>3960</v>
      </c>
      <c r="F145" s="778">
        <v>4590</v>
      </c>
      <c r="G145" s="778">
        <v>4220</v>
      </c>
      <c r="H145" s="778">
        <v>4110</v>
      </c>
      <c r="I145" s="778">
        <v>4220</v>
      </c>
      <c r="J145" s="778">
        <v>4340</v>
      </c>
      <c r="K145" s="778">
        <v>4340</v>
      </c>
      <c r="L145" s="778">
        <v>4130</v>
      </c>
      <c r="M145" s="778">
        <v>4540</v>
      </c>
      <c r="N145" s="778">
        <v>4020</v>
      </c>
      <c r="O145" s="778">
        <v>4250</v>
      </c>
      <c r="P145" s="778">
        <v>4115</v>
      </c>
      <c r="Q145" s="778">
        <v>4260</v>
      </c>
      <c r="R145" s="778">
        <v>3930</v>
      </c>
      <c r="S145" s="778">
        <v>4045</v>
      </c>
      <c r="T145" s="778">
        <v>4030</v>
      </c>
      <c r="U145" s="778">
        <v>3910</v>
      </c>
      <c r="V145" s="778">
        <v>3930</v>
      </c>
      <c r="W145" s="778">
        <v>4290</v>
      </c>
      <c r="X145" s="778">
        <v>3820</v>
      </c>
      <c r="Y145" s="778" t="s">
        <v>773</v>
      </c>
      <c r="Z145" s="778">
        <v>4320</v>
      </c>
      <c r="AA145" s="778"/>
      <c r="AB145" s="778"/>
      <c r="AC145" s="778" t="s">
        <v>774</v>
      </c>
      <c r="AD145" s="778">
        <v>4040</v>
      </c>
    </row>
    <row r="146" spans="1:31" s="782" customFormat="1" hidden="1">
      <c r="A146" s="779" t="str">
        <f t="shared" si="22"/>
        <v>MA2Back Door</v>
      </c>
      <c r="B146" s="786" t="s">
        <v>773</v>
      </c>
      <c r="C146" s="778">
        <v>3940</v>
      </c>
      <c r="D146" s="778">
        <v>3940</v>
      </c>
      <c r="E146" s="778">
        <v>3940</v>
      </c>
      <c r="F146" s="778">
        <v>4640</v>
      </c>
      <c r="G146" s="778">
        <v>4300</v>
      </c>
      <c r="H146" s="778">
        <v>3340</v>
      </c>
      <c r="I146" s="778">
        <v>4300</v>
      </c>
      <c r="J146" s="778">
        <v>3960</v>
      </c>
      <c r="K146" s="778">
        <v>4440</v>
      </c>
      <c r="L146" s="778">
        <v>4170</v>
      </c>
      <c r="M146" s="778">
        <v>4590</v>
      </c>
      <c r="N146" s="778">
        <v>4120</v>
      </c>
      <c r="O146" s="778">
        <v>4110</v>
      </c>
      <c r="P146" s="778">
        <v>4270</v>
      </c>
      <c r="Q146" s="778">
        <v>4610</v>
      </c>
      <c r="R146" s="778">
        <v>3820</v>
      </c>
      <c r="S146" s="778">
        <v>4115</v>
      </c>
      <c r="T146" s="778">
        <v>4580</v>
      </c>
      <c r="U146" s="778">
        <v>4580</v>
      </c>
      <c r="V146" s="778">
        <v>4210</v>
      </c>
      <c r="W146" s="778">
        <v>4330</v>
      </c>
      <c r="X146" s="778">
        <v>3720</v>
      </c>
      <c r="Y146" s="788" t="s">
        <v>474</v>
      </c>
      <c r="Z146" s="778">
        <v>8130</v>
      </c>
      <c r="AA146" s="789"/>
      <c r="AB146" s="789"/>
      <c r="AC146" s="789"/>
      <c r="AD146" s="789"/>
    </row>
    <row r="147" spans="1:31" s="782" customFormat="1" hidden="1">
      <c r="A147" s="779" t="str">
        <f t="shared" si="22"/>
        <v>MA2Roof</v>
      </c>
      <c r="B147" s="790" t="s">
        <v>474</v>
      </c>
      <c r="C147" s="778">
        <v>5980</v>
      </c>
      <c r="D147" s="778">
        <v>5980</v>
      </c>
      <c r="E147" s="778">
        <v>6140</v>
      </c>
      <c r="F147" s="778">
        <v>8630</v>
      </c>
      <c r="G147" s="778">
        <v>6980</v>
      </c>
      <c r="H147" s="778">
        <v>6270</v>
      </c>
      <c r="I147" s="778">
        <v>6600</v>
      </c>
      <c r="J147" s="778">
        <v>6140</v>
      </c>
      <c r="K147" s="778">
        <v>6140</v>
      </c>
      <c r="L147" s="778">
        <v>6580</v>
      </c>
      <c r="M147" s="778">
        <v>7240</v>
      </c>
      <c r="N147" s="778">
        <v>6020</v>
      </c>
      <c r="O147" s="778">
        <v>6100</v>
      </c>
      <c r="P147" s="778">
        <v>6030</v>
      </c>
      <c r="Q147" s="778">
        <v>7250</v>
      </c>
      <c r="R147" s="778">
        <v>6760</v>
      </c>
      <c r="S147" s="778">
        <v>6740</v>
      </c>
      <c r="T147" s="778">
        <v>6230</v>
      </c>
      <c r="U147" s="778">
        <v>6430</v>
      </c>
      <c r="V147" s="778">
        <v>5960</v>
      </c>
      <c r="W147" s="778">
        <v>5670</v>
      </c>
      <c r="X147" s="778">
        <v>5710</v>
      </c>
      <c r="Y147" s="778" t="s">
        <v>475</v>
      </c>
      <c r="Z147" s="778">
        <v>30070</v>
      </c>
      <c r="AA147" s="789"/>
      <c r="AB147" s="787"/>
      <c r="AC147" s="787"/>
      <c r="AD147" s="787"/>
    </row>
    <row r="148" spans="1:31" hidden="1">
      <c r="A148" s="645" t="str">
        <f t="shared" si="22"/>
        <v>MA2Full Car Painting</v>
      </c>
      <c r="B148" s="639" t="s">
        <v>475</v>
      </c>
      <c r="C148" s="640">
        <v>38270</v>
      </c>
      <c r="D148" s="640">
        <v>38940</v>
      </c>
      <c r="E148" s="664">
        <v>39220</v>
      </c>
      <c r="F148" s="664">
        <v>44100</v>
      </c>
      <c r="G148" s="664">
        <v>40270</v>
      </c>
      <c r="H148" s="664">
        <v>39380</v>
      </c>
      <c r="I148" s="664">
        <v>41160</v>
      </c>
      <c r="J148" s="664">
        <v>41970</v>
      </c>
      <c r="K148" s="664">
        <v>42350</v>
      </c>
      <c r="L148" s="664">
        <v>40360</v>
      </c>
      <c r="M148" s="664">
        <v>46500</v>
      </c>
      <c r="N148" s="664">
        <v>41480</v>
      </c>
      <c r="O148" s="664">
        <v>41515</v>
      </c>
      <c r="P148" s="664">
        <v>41160</v>
      </c>
      <c r="Q148" s="664">
        <v>44010</v>
      </c>
      <c r="R148" s="664">
        <v>41130</v>
      </c>
      <c r="S148" s="664">
        <v>40070</v>
      </c>
      <c r="T148" s="664">
        <v>39290</v>
      </c>
      <c r="U148" s="664">
        <v>39510</v>
      </c>
      <c r="V148" s="664">
        <v>39520</v>
      </c>
      <c r="W148" s="664">
        <v>43780</v>
      </c>
      <c r="X148" s="664">
        <v>31420</v>
      </c>
      <c r="Y148" s="664"/>
      <c r="Z148" s="664"/>
      <c r="AA148" s="666"/>
      <c r="AB148" s="665"/>
      <c r="AC148" s="665"/>
      <c r="AD148" s="665"/>
    </row>
    <row r="149" spans="1:31" hidden="1"/>
    <row r="150" spans="1:31" hidden="1"/>
    <row r="151" spans="1:31" hidden="1">
      <c r="A151" s="645" t="s">
        <v>783</v>
      </c>
      <c r="B151" s="642" t="s">
        <v>776</v>
      </c>
      <c r="C151" s="642"/>
      <c r="D151" s="791"/>
      <c r="E151" s="791"/>
      <c r="F151" s="791"/>
      <c r="G151" s="791"/>
      <c r="H151" s="642"/>
      <c r="I151" s="642"/>
      <c r="J151" s="642"/>
      <c r="K151" s="642"/>
      <c r="L151" s="642"/>
      <c r="M151" s="642"/>
      <c r="N151" s="642"/>
      <c r="O151" s="642"/>
      <c r="P151" s="642"/>
      <c r="Q151" s="642"/>
      <c r="R151" s="642"/>
      <c r="S151" s="642"/>
      <c r="T151" s="642"/>
      <c r="U151" s="642"/>
      <c r="V151" s="642"/>
      <c r="W151" s="642"/>
      <c r="X151" s="642"/>
      <c r="Y151" s="642"/>
      <c r="Z151" s="642"/>
      <c r="AA151" s="642"/>
      <c r="AB151" s="642"/>
      <c r="AC151" s="642"/>
      <c r="AD151" s="642"/>
      <c r="AE151" s="642"/>
    </row>
    <row r="152" spans="1:31" ht="25.5" hidden="1">
      <c r="A152" s="645"/>
      <c r="B152" s="637" t="s">
        <v>499</v>
      </c>
      <c r="C152" s="783" t="s">
        <v>753</v>
      </c>
      <c r="D152" s="783" t="s">
        <v>754</v>
      </c>
      <c r="E152" s="783" t="s">
        <v>755</v>
      </c>
      <c r="F152" s="783" t="s">
        <v>461</v>
      </c>
      <c r="G152" s="784" t="s">
        <v>756</v>
      </c>
      <c r="H152" s="783" t="s">
        <v>757</v>
      </c>
      <c r="I152" s="783" t="s">
        <v>462</v>
      </c>
      <c r="J152" s="783" t="s">
        <v>463</v>
      </c>
      <c r="K152" s="783" t="s">
        <v>758</v>
      </c>
      <c r="L152" s="785" t="s">
        <v>793</v>
      </c>
      <c r="M152" s="783" t="s">
        <v>759</v>
      </c>
      <c r="N152" s="783" t="s">
        <v>465</v>
      </c>
      <c r="O152" s="783" t="s">
        <v>807</v>
      </c>
      <c r="P152" s="783" t="s">
        <v>469</v>
      </c>
      <c r="Q152" s="783" t="s">
        <v>470</v>
      </c>
      <c r="R152" s="783" t="s">
        <v>760</v>
      </c>
      <c r="S152" s="783" t="s">
        <v>468</v>
      </c>
      <c r="T152" s="783" t="s">
        <v>761</v>
      </c>
      <c r="U152" s="783" t="s">
        <v>762</v>
      </c>
      <c r="V152" s="783" t="s">
        <v>808</v>
      </c>
      <c r="W152" s="783" t="s">
        <v>763</v>
      </c>
      <c r="X152" s="783" t="s">
        <v>764</v>
      </c>
      <c r="Y152" s="783" t="s">
        <v>467</v>
      </c>
      <c r="Z152" s="783"/>
      <c r="AA152" s="783" t="s">
        <v>765</v>
      </c>
      <c r="AB152" s="783"/>
      <c r="AC152" s="783" t="s">
        <v>766</v>
      </c>
      <c r="AD152" s="783"/>
    </row>
    <row r="153" spans="1:31" hidden="1">
      <c r="A153" s="645" t="str">
        <f>"MB"&amp;B153</f>
        <v>MBFront Bumper</v>
      </c>
      <c r="B153" s="639" t="s">
        <v>767</v>
      </c>
      <c r="C153" s="778">
        <v>3841</v>
      </c>
      <c r="D153" s="778">
        <v>4184</v>
      </c>
      <c r="E153" s="778">
        <v>4665</v>
      </c>
      <c r="F153" s="778">
        <v>4462</v>
      </c>
      <c r="G153" s="778">
        <v>4029</v>
      </c>
      <c r="H153" s="778">
        <v>4799</v>
      </c>
      <c r="I153" s="778">
        <v>4911</v>
      </c>
      <c r="J153" s="778">
        <v>4858</v>
      </c>
      <c r="K153" s="778">
        <v>4858</v>
      </c>
      <c r="L153" s="778">
        <v>4430</v>
      </c>
      <c r="M153" s="778">
        <v>5473</v>
      </c>
      <c r="N153" s="778">
        <v>4387</v>
      </c>
      <c r="O153" s="778">
        <v>4034</v>
      </c>
      <c r="P153" s="778">
        <v>4633</v>
      </c>
      <c r="Q153" s="778">
        <v>5211</v>
      </c>
      <c r="R153" s="778">
        <v>4756</v>
      </c>
      <c r="S153" s="778">
        <v>4029</v>
      </c>
      <c r="T153" s="778">
        <v>3424</v>
      </c>
      <c r="U153" s="778">
        <v>4253</v>
      </c>
      <c r="V153" s="778">
        <v>5050</v>
      </c>
      <c r="W153" s="778">
        <v>4788</v>
      </c>
      <c r="X153" s="788">
        <v>0</v>
      </c>
      <c r="Y153" s="778" t="s">
        <v>476</v>
      </c>
      <c r="Z153" s="778"/>
      <c r="AA153" s="778" t="s">
        <v>476</v>
      </c>
      <c r="AB153" s="778"/>
      <c r="AC153" s="778" t="s">
        <v>476</v>
      </c>
      <c r="AD153" s="778"/>
    </row>
    <row r="154" spans="1:31" hidden="1">
      <c r="A154" s="645" t="str">
        <f t="shared" ref="A154:A161" si="23">"MB"&amp;B154</f>
        <v>MBRear Bumper</v>
      </c>
      <c r="B154" s="639" t="s">
        <v>768</v>
      </c>
      <c r="C154" s="778">
        <v>3841</v>
      </c>
      <c r="D154" s="778">
        <v>3970</v>
      </c>
      <c r="E154" s="778">
        <v>4109</v>
      </c>
      <c r="F154" s="778">
        <v>4820</v>
      </c>
      <c r="G154" s="778">
        <v>3906</v>
      </c>
      <c r="H154" s="778">
        <v>4328</v>
      </c>
      <c r="I154" s="778">
        <v>4473</v>
      </c>
      <c r="J154" s="778">
        <v>4858</v>
      </c>
      <c r="K154" s="778">
        <v>4858</v>
      </c>
      <c r="L154" s="778">
        <v>3734</v>
      </c>
      <c r="M154" s="778">
        <v>5473</v>
      </c>
      <c r="N154" s="778">
        <v>5313</v>
      </c>
      <c r="O154" s="778">
        <v>4435</v>
      </c>
      <c r="P154" s="778">
        <v>5147</v>
      </c>
      <c r="Q154" s="778">
        <v>5527</v>
      </c>
      <c r="R154" s="778">
        <v>4788</v>
      </c>
      <c r="S154" s="778">
        <v>4243</v>
      </c>
      <c r="T154" s="778">
        <v>3371</v>
      </c>
      <c r="U154" s="778">
        <v>3536</v>
      </c>
      <c r="V154" s="778">
        <v>5190</v>
      </c>
      <c r="W154" s="778">
        <v>4788</v>
      </c>
      <c r="X154" s="788">
        <v>0</v>
      </c>
      <c r="Y154" s="778" t="s">
        <v>476</v>
      </c>
      <c r="Z154" s="787"/>
      <c r="AA154" s="778" t="s">
        <v>476</v>
      </c>
      <c r="AB154" s="787"/>
      <c r="AC154" s="778" t="s">
        <v>476</v>
      </c>
      <c r="AD154" s="787"/>
    </row>
    <row r="155" spans="1:31" hidden="1">
      <c r="A155" s="645" t="str">
        <f t="shared" si="23"/>
        <v>MBBonnet</v>
      </c>
      <c r="B155" s="639" t="s">
        <v>472</v>
      </c>
      <c r="C155" s="778">
        <v>4285</v>
      </c>
      <c r="D155" s="778">
        <v>4778</v>
      </c>
      <c r="E155" s="778">
        <v>4194</v>
      </c>
      <c r="F155" s="778">
        <v>4564</v>
      </c>
      <c r="G155" s="778">
        <v>4146</v>
      </c>
      <c r="H155" s="778">
        <v>3996</v>
      </c>
      <c r="I155" s="778">
        <v>4462</v>
      </c>
      <c r="J155" s="778">
        <v>4767</v>
      </c>
      <c r="K155" s="778">
        <v>4767</v>
      </c>
      <c r="L155" s="778">
        <v>3970</v>
      </c>
      <c r="M155" s="778">
        <v>6543</v>
      </c>
      <c r="N155" s="778">
        <v>4959</v>
      </c>
      <c r="O155" s="778">
        <v>4489</v>
      </c>
      <c r="P155" s="778">
        <v>5425</v>
      </c>
      <c r="Q155" s="778">
        <v>5880</v>
      </c>
      <c r="R155" s="778">
        <v>4992</v>
      </c>
      <c r="S155" s="778">
        <v>4633</v>
      </c>
      <c r="T155" s="778">
        <v>5313</v>
      </c>
      <c r="U155" s="778">
        <v>4622</v>
      </c>
      <c r="V155" s="778">
        <v>4836</v>
      </c>
      <c r="W155" s="778">
        <v>6019</v>
      </c>
      <c r="X155" s="778">
        <v>3970</v>
      </c>
      <c r="Y155" s="778" t="s">
        <v>769</v>
      </c>
      <c r="Z155" s="778">
        <v>4756</v>
      </c>
      <c r="AA155" s="778" t="s">
        <v>769</v>
      </c>
      <c r="AB155" s="778">
        <v>4542</v>
      </c>
      <c r="AC155" s="778" t="s">
        <v>472</v>
      </c>
      <c r="AD155" s="778">
        <v>5446</v>
      </c>
    </row>
    <row r="156" spans="1:31" hidden="1">
      <c r="A156" s="645" t="str">
        <f t="shared" si="23"/>
        <v>MBFender</v>
      </c>
      <c r="B156" s="639" t="s">
        <v>473</v>
      </c>
      <c r="C156" s="778">
        <v>3210</v>
      </c>
      <c r="D156" s="778">
        <v>3178</v>
      </c>
      <c r="E156" s="778">
        <v>3301</v>
      </c>
      <c r="F156" s="778">
        <v>3322</v>
      </c>
      <c r="G156" s="778">
        <v>3221</v>
      </c>
      <c r="H156" s="778">
        <v>3210</v>
      </c>
      <c r="I156" s="778">
        <v>3167</v>
      </c>
      <c r="J156" s="778">
        <v>3371</v>
      </c>
      <c r="K156" s="778">
        <v>3371</v>
      </c>
      <c r="L156" s="778">
        <v>3467</v>
      </c>
      <c r="M156" s="778">
        <v>3494</v>
      </c>
      <c r="N156" s="778">
        <v>3740</v>
      </c>
      <c r="O156" s="778">
        <v>3205</v>
      </c>
      <c r="P156" s="778">
        <v>3199</v>
      </c>
      <c r="Q156" s="778">
        <v>3328</v>
      </c>
      <c r="R156" s="778">
        <v>3221</v>
      </c>
      <c r="S156" s="778">
        <v>3258</v>
      </c>
      <c r="T156" s="778">
        <v>3055</v>
      </c>
      <c r="U156" s="778">
        <v>3098</v>
      </c>
      <c r="V156" s="778">
        <v>3344</v>
      </c>
      <c r="W156" s="778">
        <v>3381</v>
      </c>
      <c r="X156" s="778">
        <v>3146</v>
      </c>
      <c r="Y156" s="778" t="s">
        <v>770</v>
      </c>
      <c r="Z156" s="778">
        <v>3986</v>
      </c>
      <c r="AA156" s="778" t="s">
        <v>770</v>
      </c>
      <c r="AB156" s="778">
        <v>2563</v>
      </c>
      <c r="AC156" s="778" t="s">
        <v>473</v>
      </c>
      <c r="AD156" s="778">
        <v>3055</v>
      </c>
    </row>
    <row r="157" spans="1:31" hidden="1">
      <c r="A157" s="645" t="str">
        <f t="shared" si="23"/>
        <v>MBFront Door</v>
      </c>
      <c r="B157" s="639" t="s">
        <v>770</v>
      </c>
      <c r="C157" s="778">
        <v>4205</v>
      </c>
      <c r="D157" s="778">
        <v>4205</v>
      </c>
      <c r="E157" s="778">
        <v>4205</v>
      </c>
      <c r="F157" s="778">
        <v>4542</v>
      </c>
      <c r="G157" s="778">
        <v>4489</v>
      </c>
      <c r="H157" s="778">
        <v>4366</v>
      </c>
      <c r="I157" s="778">
        <v>4489</v>
      </c>
      <c r="J157" s="778">
        <v>4612</v>
      </c>
      <c r="K157" s="778">
        <v>4612</v>
      </c>
      <c r="L157" s="778">
        <v>4387</v>
      </c>
      <c r="M157" s="778">
        <v>4820</v>
      </c>
      <c r="N157" s="778">
        <v>4376</v>
      </c>
      <c r="O157" s="778">
        <v>4778</v>
      </c>
      <c r="P157" s="778">
        <v>4473</v>
      </c>
      <c r="Q157" s="778">
        <v>4521</v>
      </c>
      <c r="R157" s="778">
        <v>4489</v>
      </c>
      <c r="S157" s="778">
        <v>4408</v>
      </c>
      <c r="T157" s="778">
        <v>4531</v>
      </c>
      <c r="U157" s="778">
        <v>4489</v>
      </c>
      <c r="V157" s="778">
        <v>4569</v>
      </c>
      <c r="W157" s="778">
        <v>4553</v>
      </c>
      <c r="X157" s="778">
        <v>4061</v>
      </c>
      <c r="Y157" s="778" t="s">
        <v>771</v>
      </c>
      <c r="Z157" s="778">
        <v>4120</v>
      </c>
      <c r="AA157" s="778" t="s">
        <v>473</v>
      </c>
      <c r="AB157" s="778">
        <v>4061</v>
      </c>
      <c r="AC157" s="778" t="s">
        <v>770</v>
      </c>
      <c r="AD157" s="778">
        <v>3996</v>
      </c>
    </row>
    <row r="158" spans="1:31" hidden="1">
      <c r="A158" s="645" t="str">
        <f t="shared" si="23"/>
        <v>MBRear Door</v>
      </c>
      <c r="B158" s="639" t="s">
        <v>772</v>
      </c>
      <c r="C158" s="778">
        <v>4205</v>
      </c>
      <c r="D158" s="778">
        <v>4205</v>
      </c>
      <c r="E158" s="778">
        <v>4205</v>
      </c>
      <c r="F158" s="778">
        <v>4869</v>
      </c>
      <c r="G158" s="778">
        <v>4489</v>
      </c>
      <c r="H158" s="778">
        <v>4366</v>
      </c>
      <c r="I158" s="778">
        <v>4489</v>
      </c>
      <c r="J158" s="778">
        <v>4612</v>
      </c>
      <c r="K158" s="778">
        <v>4612</v>
      </c>
      <c r="L158" s="778">
        <v>4387</v>
      </c>
      <c r="M158" s="778">
        <v>4820</v>
      </c>
      <c r="N158" s="778">
        <v>4189</v>
      </c>
      <c r="O158" s="778">
        <v>4323</v>
      </c>
      <c r="P158" s="778">
        <v>4366</v>
      </c>
      <c r="Q158" s="778">
        <v>4521</v>
      </c>
      <c r="R158" s="778">
        <v>4173</v>
      </c>
      <c r="S158" s="778">
        <v>4205</v>
      </c>
      <c r="T158" s="778">
        <v>4275</v>
      </c>
      <c r="U158" s="778">
        <v>4152</v>
      </c>
      <c r="V158" s="778">
        <v>4943</v>
      </c>
      <c r="W158" s="778">
        <v>4553</v>
      </c>
      <c r="X158" s="778">
        <v>4061</v>
      </c>
      <c r="Y158" s="778" t="s">
        <v>773</v>
      </c>
      <c r="Z158" s="778">
        <v>4585</v>
      </c>
      <c r="AA158" s="778"/>
      <c r="AB158" s="778"/>
      <c r="AC158" s="778" t="s">
        <v>774</v>
      </c>
      <c r="AD158" s="778">
        <v>4285</v>
      </c>
    </row>
    <row r="159" spans="1:31" hidden="1">
      <c r="A159" s="645" t="str">
        <f t="shared" si="23"/>
        <v>MBBack Door</v>
      </c>
      <c r="B159" s="639" t="s">
        <v>773</v>
      </c>
      <c r="C159" s="778">
        <v>4185</v>
      </c>
      <c r="D159" s="778">
        <v>4184</v>
      </c>
      <c r="E159" s="778">
        <v>4184</v>
      </c>
      <c r="F159" s="778">
        <v>4922</v>
      </c>
      <c r="G159" s="778">
        <v>4564</v>
      </c>
      <c r="H159" s="778">
        <v>3547</v>
      </c>
      <c r="I159" s="778">
        <v>4564</v>
      </c>
      <c r="J159" s="778">
        <v>4205</v>
      </c>
      <c r="K159" s="778">
        <v>4708</v>
      </c>
      <c r="L159" s="778">
        <v>4430</v>
      </c>
      <c r="M159" s="778">
        <v>4869</v>
      </c>
      <c r="N159" s="778">
        <v>4376</v>
      </c>
      <c r="O159" s="778">
        <v>4633</v>
      </c>
      <c r="P159" s="778">
        <v>4531</v>
      </c>
      <c r="Q159" s="778">
        <v>4890</v>
      </c>
      <c r="R159" s="778">
        <v>4061</v>
      </c>
      <c r="S159" s="778">
        <v>4339</v>
      </c>
      <c r="T159" s="778">
        <v>4858</v>
      </c>
      <c r="U159" s="778">
        <v>4858</v>
      </c>
      <c r="V159" s="778">
        <v>5066</v>
      </c>
      <c r="W159" s="778">
        <v>4596</v>
      </c>
      <c r="X159" s="778">
        <v>3948</v>
      </c>
      <c r="Y159" s="788" t="s">
        <v>474</v>
      </c>
      <c r="Z159" s="778">
        <v>8635</v>
      </c>
      <c r="AA159" s="789"/>
      <c r="AB159" s="789"/>
      <c r="AC159" s="789"/>
      <c r="AD159" s="789"/>
    </row>
    <row r="160" spans="1:31" hidden="1">
      <c r="A160" s="645" t="str">
        <f t="shared" si="23"/>
        <v>MBRoof</v>
      </c>
      <c r="B160" s="647" t="s">
        <v>474</v>
      </c>
      <c r="C160" s="778">
        <v>6345</v>
      </c>
      <c r="D160" s="778">
        <v>6345</v>
      </c>
      <c r="E160" s="778">
        <v>6522</v>
      </c>
      <c r="F160" s="778">
        <v>9159</v>
      </c>
      <c r="G160" s="778">
        <v>7404</v>
      </c>
      <c r="H160" s="778">
        <v>6655</v>
      </c>
      <c r="I160" s="778">
        <v>7003</v>
      </c>
      <c r="J160" s="778">
        <v>6522</v>
      </c>
      <c r="K160" s="778">
        <v>6522</v>
      </c>
      <c r="L160" s="778">
        <v>6982</v>
      </c>
      <c r="M160" s="778">
        <v>7683</v>
      </c>
      <c r="N160" s="778">
        <v>6388</v>
      </c>
      <c r="O160" s="778">
        <v>7929</v>
      </c>
      <c r="P160" s="778">
        <v>6399</v>
      </c>
      <c r="Q160" s="778">
        <v>7693</v>
      </c>
      <c r="R160" s="778">
        <v>7180</v>
      </c>
      <c r="S160" s="778">
        <v>7158</v>
      </c>
      <c r="T160" s="778">
        <v>6613</v>
      </c>
      <c r="U160" s="778">
        <v>6821</v>
      </c>
      <c r="V160" s="778">
        <v>9395</v>
      </c>
      <c r="W160" s="778">
        <v>6019</v>
      </c>
      <c r="X160" s="778">
        <v>6062</v>
      </c>
      <c r="Y160" s="778" t="s">
        <v>475</v>
      </c>
      <c r="Z160" s="778">
        <v>31902</v>
      </c>
      <c r="AA160" s="789"/>
      <c r="AB160" s="787"/>
      <c r="AC160" s="787"/>
      <c r="AD160" s="787"/>
    </row>
    <row r="161" spans="1:31" hidden="1">
      <c r="A161" s="645" t="str">
        <f t="shared" si="23"/>
        <v>MBFull Car Painting</v>
      </c>
      <c r="B161" s="639" t="s">
        <v>475</v>
      </c>
      <c r="C161" s="778">
        <v>40612</v>
      </c>
      <c r="D161" s="778">
        <v>41318</v>
      </c>
      <c r="E161" s="778">
        <v>41618</v>
      </c>
      <c r="F161" s="778">
        <v>46796</v>
      </c>
      <c r="G161" s="778">
        <v>42725</v>
      </c>
      <c r="H161" s="778">
        <v>41789</v>
      </c>
      <c r="I161" s="778">
        <v>43677</v>
      </c>
      <c r="J161" s="778">
        <v>44539</v>
      </c>
      <c r="K161" s="778">
        <v>44940</v>
      </c>
      <c r="L161" s="778">
        <v>42827</v>
      </c>
      <c r="M161" s="778">
        <v>49348</v>
      </c>
      <c r="N161" s="778">
        <v>44025</v>
      </c>
      <c r="O161" s="778">
        <v>44068</v>
      </c>
      <c r="P161" s="778">
        <v>43677</v>
      </c>
      <c r="Q161" s="778">
        <v>46706</v>
      </c>
      <c r="R161" s="778">
        <v>43645</v>
      </c>
      <c r="S161" s="778">
        <v>42527</v>
      </c>
      <c r="T161" s="778">
        <v>41687</v>
      </c>
      <c r="U161" s="778">
        <v>41933</v>
      </c>
      <c r="V161" s="778">
        <v>48305</v>
      </c>
      <c r="W161" s="778">
        <v>46449</v>
      </c>
      <c r="X161" s="778">
        <v>33347</v>
      </c>
      <c r="Y161" s="778"/>
      <c r="Z161" s="778"/>
      <c r="AA161" s="789"/>
      <c r="AB161" s="787"/>
      <c r="AC161" s="787"/>
      <c r="AD161" s="787"/>
    </row>
    <row r="162" spans="1:31" hidden="1"/>
    <row r="163" spans="1:31" ht="13.5" hidden="1" customHeight="1"/>
    <row r="164" spans="1:31" s="782" customFormat="1" hidden="1">
      <c r="A164" s="779" t="s">
        <v>784</v>
      </c>
      <c r="B164" s="791" t="s">
        <v>777</v>
      </c>
      <c r="C164" s="791"/>
      <c r="D164" s="791"/>
      <c r="E164" s="791"/>
      <c r="F164" s="791"/>
      <c r="G164" s="791"/>
      <c r="H164" s="791"/>
      <c r="I164" s="791"/>
      <c r="J164" s="791"/>
      <c r="K164" s="791"/>
      <c r="L164" s="791"/>
      <c r="M164" s="791"/>
      <c r="N164" s="791"/>
      <c r="O164" s="791"/>
      <c r="P164" s="791"/>
      <c r="Q164" s="791"/>
      <c r="R164" s="791"/>
      <c r="S164" s="791"/>
      <c r="T164" s="791"/>
      <c r="U164" s="791"/>
      <c r="V164" s="791"/>
      <c r="W164" s="791"/>
      <c r="X164" s="791"/>
      <c r="Y164" s="791"/>
      <c r="Z164" s="791"/>
      <c r="AA164" s="791"/>
      <c r="AB164" s="791"/>
      <c r="AC164" s="791"/>
      <c r="AD164" s="791"/>
      <c r="AE164" s="791"/>
    </row>
    <row r="165" spans="1:31" s="782" customFormat="1" ht="25.5" hidden="1">
      <c r="A165" s="779"/>
      <c r="B165" s="783" t="s">
        <v>499</v>
      </c>
      <c r="C165" s="783" t="s">
        <v>753</v>
      </c>
      <c r="D165" s="783" t="s">
        <v>754</v>
      </c>
      <c r="E165" s="783" t="s">
        <v>755</v>
      </c>
      <c r="F165" s="783" t="s">
        <v>461</v>
      </c>
      <c r="G165" s="784" t="s">
        <v>756</v>
      </c>
      <c r="H165" s="783" t="s">
        <v>757</v>
      </c>
      <c r="I165" s="783" t="s">
        <v>462</v>
      </c>
      <c r="J165" s="783" t="s">
        <v>463</v>
      </c>
      <c r="K165" s="783" t="s">
        <v>758</v>
      </c>
      <c r="L165" s="785" t="s">
        <v>793</v>
      </c>
      <c r="M165" s="783" t="s">
        <v>759</v>
      </c>
      <c r="N165" s="783" t="s">
        <v>465</v>
      </c>
      <c r="O165" s="783" t="s">
        <v>466</v>
      </c>
      <c r="P165" s="783" t="s">
        <v>469</v>
      </c>
      <c r="Q165" s="783" t="s">
        <v>470</v>
      </c>
      <c r="R165" s="783" t="s">
        <v>760</v>
      </c>
      <c r="S165" s="783" t="s">
        <v>468</v>
      </c>
      <c r="T165" s="783" t="s">
        <v>761</v>
      </c>
      <c r="U165" s="783" t="s">
        <v>762</v>
      </c>
      <c r="V165" s="783" t="s">
        <v>464</v>
      </c>
      <c r="W165" s="783" t="s">
        <v>763</v>
      </c>
      <c r="X165" s="783" t="s">
        <v>764</v>
      </c>
      <c r="Y165" s="783" t="s">
        <v>467</v>
      </c>
      <c r="Z165" s="783"/>
      <c r="AA165" s="783" t="s">
        <v>765</v>
      </c>
      <c r="AB165" s="783"/>
      <c r="AC165" s="783" t="s">
        <v>766</v>
      </c>
      <c r="AD165" s="783"/>
    </row>
    <row r="166" spans="1:31" s="782" customFormat="1" hidden="1">
      <c r="A166" s="779" t="str">
        <f>"MC"&amp;B166</f>
        <v>MCFront Bumper</v>
      </c>
      <c r="B166" s="786" t="s">
        <v>767</v>
      </c>
      <c r="C166" s="778">
        <v>3170</v>
      </c>
      <c r="D166" s="778">
        <v>3420</v>
      </c>
      <c r="E166" s="778">
        <v>3810</v>
      </c>
      <c r="F166" s="778">
        <v>3650</v>
      </c>
      <c r="G166" s="778">
        <v>3290</v>
      </c>
      <c r="H166" s="778">
        <v>3920</v>
      </c>
      <c r="I166" s="778">
        <v>4010</v>
      </c>
      <c r="J166" s="778">
        <v>3970</v>
      </c>
      <c r="K166" s="778">
        <v>3970</v>
      </c>
      <c r="L166" s="778">
        <v>3620</v>
      </c>
      <c r="M166" s="778">
        <v>4470</v>
      </c>
      <c r="N166" s="778">
        <v>3530</v>
      </c>
      <c r="O166" s="778">
        <v>3865</v>
      </c>
      <c r="P166" s="778">
        <v>3700</v>
      </c>
      <c r="Q166" s="778">
        <v>4260</v>
      </c>
      <c r="R166" s="778">
        <v>3880</v>
      </c>
      <c r="S166" s="778">
        <v>3290</v>
      </c>
      <c r="T166" s="778">
        <v>2800</v>
      </c>
      <c r="U166" s="778">
        <v>3480</v>
      </c>
      <c r="V166" s="778">
        <v>3780</v>
      </c>
      <c r="W166" s="778">
        <v>3910</v>
      </c>
      <c r="X166" s="788">
        <v>0</v>
      </c>
      <c r="Y166" s="778" t="s">
        <v>476</v>
      </c>
      <c r="Z166" s="778"/>
      <c r="AA166" s="778" t="s">
        <v>476</v>
      </c>
      <c r="AB166" s="778"/>
      <c r="AC166" s="778" t="s">
        <v>476</v>
      </c>
      <c r="AD166" s="778"/>
    </row>
    <row r="167" spans="1:31" s="782" customFormat="1" hidden="1">
      <c r="A167" s="779" t="str">
        <f t="shared" ref="A167:A174" si="24">"MC"&amp;B167</f>
        <v>MCRear Bumper</v>
      </c>
      <c r="B167" s="786" t="s">
        <v>768</v>
      </c>
      <c r="C167" s="778">
        <v>3170</v>
      </c>
      <c r="D167" s="778">
        <v>3250</v>
      </c>
      <c r="E167" s="778">
        <v>3360</v>
      </c>
      <c r="F167" s="778">
        <v>3940</v>
      </c>
      <c r="G167" s="778">
        <v>3190</v>
      </c>
      <c r="H167" s="778">
        <v>3540</v>
      </c>
      <c r="I167" s="778">
        <v>3660</v>
      </c>
      <c r="J167" s="778">
        <v>3970</v>
      </c>
      <c r="K167" s="778">
        <v>3970</v>
      </c>
      <c r="L167" s="778">
        <v>3015</v>
      </c>
      <c r="M167" s="778">
        <v>4470</v>
      </c>
      <c r="N167" s="778">
        <v>4340</v>
      </c>
      <c r="O167" s="778">
        <v>3865</v>
      </c>
      <c r="P167" s="778">
        <v>4210</v>
      </c>
      <c r="Q167" s="778">
        <v>4510</v>
      </c>
      <c r="R167" s="778">
        <v>3910</v>
      </c>
      <c r="S167" s="778">
        <v>3460</v>
      </c>
      <c r="T167" s="778">
        <v>2750</v>
      </c>
      <c r="U167" s="778">
        <v>2890</v>
      </c>
      <c r="V167" s="778">
        <v>3780</v>
      </c>
      <c r="W167" s="778">
        <v>3910</v>
      </c>
      <c r="X167" s="788">
        <v>0</v>
      </c>
      <c r="Y167" s="778" t="s">
        <v>476</v>
      </c>
      <c r="Z167" s="787"/>
      <c r="AA167" s="778" t="s">
        <v>476</v>
      </c>
      <c r="AB167" s="787"/>
      <c r="AC167" s="778" t="s">
        <v>476</v>
      </c>
      <c r="AD167" s="787"/>
    </row>
    <row r="168" spans="1:31" s="782" customFormat="1" hidden="1">
      <c r="A168" s="779" t="str">
        <f t="shared" si="24"/>
        <v>MCBonnet</v>
      </c>
      <c r="B168" s="786" t="s">
        <v>472</v>
      </c>
      <c r="C168" s="778">
        <v>3500</v>
      </c>
      <c r="D168" s="778">
        <v>3900</v>
      </c>
      <c r="E168" s="778">
        <v>3375</v>
      </c>
      <c r="F168" s="778">
        <v>3730</v>
      </c>
      <c r="G168" s="778">
        <v>3605</v>
      </c>
      <c r="H168" s="778">
        <v>3260</v>
      </c>
      <c r="I168" s="778">
        <v>3650</v>
      </c>
      <c r="J168" s="778">
        <v>3955</v>
      </c>
      <c r="K168" s="778">
        <v>3955</v>
      </c>
      <c r="L168" s="778">
        <v>3250</v>
      </c>
      <c r="M168" s="778">
        <v>5350</v>
      </c>
      <c r="N168" s="778">
        <v>4370</v>
      </c>
      <c r="O168" s="778">
        <v>4640</v>
      </c>
      <c r="P168" s="778">
        <v>4440</v>
      </c>
      <c r="Q168" s="778">
        <v>4800</v>
      </c>
      <c r="R168" s="778">
        <v>4080</v>
      </c>
      <c r="S168" s="778">
        <v>3780</v>
      </c>
      <c r="T168" s="778">
        <v>4340</v>
      </c>
      <c r="U168" s="778">
        <v>3770</v>
      </c>
      <c r="V168" s="778">
        <v>4050</v>
      </c>
      <c r="W168" s="778">
        <v>4910</v>
      </c>
      <c r="X168" s="778">
        <v>3250</v>
      </c>
      <c r="Y168" s="778" t="s">
        <v>769</v>
      </c>
      <c r="Z168" s="778">
        <v>3825</v>
      </c>
      <c r="AA168" s="778" t="s">
        <v>769</v>
      </c>
      <c r="AB168" s="778">
        <v>3710</v>
      </c>
      <c r="AC168" s="778" t="s">
        <v>472</v>
      </c>
      <c r="AD168" s="778">
        <v>4450</v>
      </c>
    </row>
    <row r="169" spans="1:31" s="782" customFormat="1" hidden="1">
      <c r="A169" s="779" t="str">
        <f t="shared" si="24"/>
        <v>MCFender</v>
      </c>
      <c r="B169" s="786" t="s">
        <v>473</v>
      </c>
      <c r="C169" s="778">
        <v>2630</v>
      </c>
      <c r="D169" s="778">
        <v>2590</v>
      </c>
      <c r="E169" s="778">
        <v>2690</v>
      </c>
      <c r="F169" s="778">
        <v>2710</v>
      </c>
      <c r="G169" s="778">
        <v>2640</v>
      </c>
      <c r="H169" s="778">
        <v>2630</v>
      </c>
      <c r="I169" s="778">
        <v>2580</v>
      </c>
      <c r="J169" s="778">
        <v>2750</v>
      </c>
      <c r="K169" s="778">
        <v>2750</v>
      </c>
      <c r="L169" s="778">
        <v>2830</v>
      </c>
      <c r="M169" s="778">
        <v>2860</v>
      </c>
      <c r="N169" s="778">
        <v>3050</v>
      </c>
      <c r="O169" s="778">
        <v>2765</v>
      </c>
      <c r="P169" s="778">
        <v>2550</v>
      </c>
      <c r="Q169" s="778">
        <v>2720</v>
      </c>
      <c r="R169" s="778">
        <v>2640</v>
      </c>
      <c r="S169" s="778">
        <v>2660</v>
      </c>
      <c r="T169" s="778">
        <v>2500</v>
      </c>
      <c r="U169" s="778">
        <v>2530</v>
      </c>
      <c r="V169" s="778">
        <v>2760</v>
      </c>
      <c r="W169" s="778">
        <v>2760</v>
      </c>
      <c r="X169" s="778">
        <v>2570</v>
      </c>
      <c r="Y169" s="778" t="s">
        <v>770</v>
      </c>
      <c r="Z169" s="778">
        <v>3260</v>
      </c>
      <c r="AA169" s="778" t="s">
        <v>770</v>
      </c>
      <c r="AB169" s="778">
        <v>2090</v>
      </c>
      <c r="AC169" s="778" t="s">
        <v>473</v>
      </c>
      <c r="AD169" s="778">
        <v>2500</v>
      </c>
    </row>
    <row r="170" spans="1:31" s="782" customFormat="1" hidden="1">
      <c r="A170" s="779" t="str">
        <f t="shared" si="24"/>
        <v>MCFront Door</v>
      </c>
      <c r="B170" s="786" t="s">
        <v>770</v>
      </c>
      <c r="C170" s="778">
        <v>3430</v>
      </c>
      <c r="D170" s="778">
        <v>3430</v>
      </c>
      <c r="E170" s="778">
        <v>3430</v>
      </c>
      <c r="F170" s="778">
        <v>3710</v>
      </c>
      <c r="G170" s="778">
        <v>3660</v>
      </c>
      <c r="H170" s="778">
        <v>3560</v>
      </c>
      <c r="I170" s="778">
        <v>3660</v>
      </c>
      <c r="J170" s="778">
        <v>3770</v>
      </c>
      <c r="K170" s="778">
        <v>3770</v>
      </c>
      <c r="L170" s="778">
        <v>3580</v>
      </c>
      <c r="M170" s="778">
        <v>3940</v>
      </c>
      <c r="N170" s="778">
        <v>3570</v>
      </c>
      <c r="O170" s="778">
        <v>3690</v>
      </c>
      <c r="P170" s="778">
        <v>3660</v>
      </c>
      <c r="Q170" s="778">
        <v>3700</v>
      </c>
      <c r="R170" s="778">
        <v>3660</v>
      </c>
      <c r="S170" s="778">
        <v>3600</v>
      </c>
      <c r="T170" s="778">
        <v>3710</v>
      </c>
      <c r="U170" s="778">
        <v>3660</v>
      </c>
      <c r="V170" s="778">
        <v>3380</v>
      </c>
      <c r="W170" s="778">
        <v>3720</v>
      </c>
      <c r="X170" s="778">
        <v>3320</v>
      </c>
      <c r="Y170" s="778" t="s">
        <v>771</v>
      </c>
      <c r="Z170" s="778">
        <v>3370</v>
      </c>
      <c r="AA170" s="778" t="s">
        <v>473</v>
      </c>
      <c r="AB170" s="778">
        <v>3320</v>
      </c>
      <c r="AC170" s="778" t="s">
        <v>770</v>
      </c>
      <c r="AD170" s="778">
        <v>3260</v>
      </c>
    </row>
    <row r="171" spans="1:31" s="782" customFormat="1" hidden="1">
      <c r="A171" s="779" t="str">
        <f t="shared" si="24"/>
        <v>MCRear Door</v>
      </c>
      <c r="B171" s="786" t="s">
        <v>772</v>
      </c>
      <c r="C171" s="778">
        <v>3430</v>
      </c>
      <c r="D171" s="778">
        <v>3430</v>
      </c>
      <c r="E171" s="778">
        <v>3430</v>
      </c>
      <c r="F171" s="778">
        <v>3980</v>
      </c>
      <c r="G171" s="778">
        <v>3660</v>
      </c>
      <c r="H171" s="778">
        <v>3560</v>
      </c>
      <c r="I171" s="778">
        <v>3660</v>
      </c>
      <c r="J171" s="778">
        <v>3770</v>
      </c>
      <c r="K171" s="778">
        <v>3770</v>
      </c>
      <c r="L171" s="778">
        <v>3580</v>
      </c>
      <c r="M171" s="778">
        <v>3940</v>
      </c>
      <c r="N171" s="778">
        <v>3375</v>
      </c>
      <c r="O171" s="778">
        <v>3690</v>
      </c>
      <c r="P171" s="778">
        <v>3500</v>
      </c>
      <c r="Q171" s="778">
        <v>3700</v>
      </c>
      <c r="R171" s="778">
        <v>3410</v>
      </c>
      <c r="S171" s="778">
        <v>3470</v>
      </c>
      <c r="T171" s="778">
        <v>3490</v>
      </c>
      <c r="U171" s="778">
        <v>3390</v>
      </c>
      <c r="V171" s="778">
        <v>3380</v>
      </c>
      <c r="W171" s="778">
        <v>3720</v>
      </c>
      <c r="X171" s="778">
        <v>3320</v>
      </c>
      <c r="Y171" s="778" t="s">
        <v>773</v>
      </c>
      <c r="Z171" s="778">
        <v>3750</v>
      </c>
      <c r="AA171" s="778"/>
      <c r="AB171" s="778"/>
      <c r="AC171" s="778" t="s">
        <v>774</v>
      </c>
      <c r="AD171" s="778">
        <v>3500</v>
      </c>
    </row>
    <row r="172" spans="1:31" s="782" customFormat="1" hidden="1">
      <c r="A172" s="779" t="str">
        <f t="shared" si="24"/>
        <v>MCBack Door</v>
      </c>
      <c r="B172" s="786" t="s">
        <v>773</v>
      </c>
      <c r="C172" s="778">
        <v>3420</v>
      </c>
      <c r="D172" s="778">
        <v>3420</v>
      </c>
      <c r="E172" s="778">
        <v>3420</v>
      </c>
      <c r="F172" s="778">
        <v>4020</v>
      </c>
      <c r="G172" s="778">
        <v>3730</v>
      </c>
      <c r="H172" s="778">
        <v>2900</v>
      </c>
      <c r="I172" s="778">
        <v>3730</v>
      </c>
      <c r="J172" s="778">
        <v>3430</v>
      </c>
      <c r="K172" s="778">
        <v>3850</v>
      </c>
      <c r="L172" s="778">
        <v>3620</v>
      </c>
      <c r="M172" s="778">
        <v>3980</v>
      </c>
      <c r="N172" s="778">
        <v>3570</v>
      </c>
      <c r="O172" s="778">
        <v>3560</v>
      </c>
      <c r="P172" s="778">
        <v>3710</v>
      </c>
      <c r="Q172" s="778">
        <v>4000</v>
      </c>
      <c r="R172" s="778">
        <v>3320</v>
      </c>
      <c r="S172" s="778">
        <v>3540</v>
      </c>
      <c r="T172" s="778">
        <v>3970</v>
      </c>
      <c r="U172" s="778">
        <v>3970</v>
      </c>
      <c r="V172" s="778">
        <v>3660</v>
      </c>
      <c r="W172" s="778">
        <v>3760</v>
      </c>
      <c r="X172" s="778">
        <v>3230</v>
      </c>
      <c r="Y172" s="788" t="s">
        <v>474</v>
      </c>
      <c r="Z172" s="778">
        <v>7060</v>
      </c>
      <c r="AA172" s="789"/>
      <c r="AB172" s="789"/>
      <c r="AC172" s="789"/>
      <c r="AD172" s="789"/>
    </row>
    <row r="173" spans="1:31" s="782" customFormat="1" hidden="1">
      <c r="A173" s="779" t="str">
        <f t="shared" si="24"/>
        <v>MCRoof</v>
      </c>
      <c r="B173" s="790" t="s">
        <v>474</v>
      </c>
      <c r="C173" s="778">
        <v>5190</v>
      </c>
      <c r="D173" s="778">
        <v>5190</v>
      </c>
      <c r="E173" s="778">
        <v>5330</v>
      </c>
      <c r="F173" s="778">
        <v>7490</v>
      </c>
      <c r="G173" s="778">
        <v>6050</v>
      </c>
      <c r="H173" s="778">
        <v>5440</v>
      </c>
      <c r="I173" s="778">
        <v>5720</v>
      </c>
      <c r="J173" s="778">
        <v>5330</v>
      </c>
      <c r="K173" s="778">
        <v>5330</v>
      </c>
      <c r="L173" s="778">
        <v>5700</v>
      </c>
      <c r="M173" s="778">
        <v>6280</v>
      </c>
      <c r="N173" s="778">
        <v>5220</v>
      </c>
      <c r="O173" s="778">
        <v>5290</v>
      </c>
      <c r="P173" s="778">
        <v>5230</v>
      </c>
      <c r="Q173" s="778">
        <v>6290</v>
      </c>
      <c r="R173" s="778">
        <v>5870</v>
      </c>
      <c r="S173" s="778">
        <v>5850</v>
      </c>
      <c r="T173" s="778">
        <v>5410</v>
      </c>
      <c r="U173" s="778">
        <v>5580</v>
      </c>
      <c r="V173" s="778">
        <v>5170</v>
      </c>
      <c r="W173" s="778">
        <v>4920</v>
      </c>
      <c r="X173" s="778">
        <v>4960</v>
      </c>
      <c r="Y173" s="778" t="s">
        <v>475</v>
      </c>
      <c r="Z173" s="778">
        <v>26080</v>
      </c>
      <c r="AA173" s="789"/>
      <c r="AB173" s="787"/>
      <c r="AC173" s="787"/>
      <c r="AD173" s="787"/>
    </row>
    <row r="174" spans="1:31" hidden="1">
      <c r="A174" s="645" t="str">
        <f t="shared" si="24"/>
        <v>MCFull Car Painting</v>
      </c>
      <c r="B174" s="639" t="s">
        <v>475</v>
      </c>
      <c r="C174" s="640">
        <v>33190</v>
      </c>
      <c r="D174" s="640">
        <v>33770</v>
      </c>
      <c r="E174" s="664">
        <v>34020</v>
      </c>
      <c r="F174" s="664">
        <v>38250</v>
      </c>
      <c r="G174" s="664">
        <v>34930</v>
      </c>
      <c r="H174" s="664">
        <v>34150</v>
      </c>
      <c r="I174" s="664">
        <v>35700</v>
      </c>
      <c r="J174" s="664">
        <v>36410</v>
      </c>
      <c r="K174" s="664">
        <v>36730</v>
      </c>
      <c r="L174" s="664">
        <v>35000</v>
      </c>
      <c r="M174" s="664">
        <v>40330</v>
      </c>
      <c r="N174" s="664">
        <v>35980</v>
      </c>
      <c r="O174" s="664">
        <v>35695</v>
      </c>
      <c r="P174" s="664">
        <v>35450</v>
      </c>
      <c r="Q174" s="664">
        <v>38170</v>
      </c>
      <c r="R174" s="664">
        <v>35670</v>
      </c>
      <c r="S174" s="664">
        <v>34760</v>
      </c>
      <c r="T174" s="664">
        <v>34080</v>
      </c>
      <c r="U174" s="664">
        <v>34270</v>
      </c>
      <c r="V174" s="664">
        <v>34280</v>
      </c>
      <c r="W174" s="664">
        <v>37970</v>
      </c>
      <c r="X174" s="664">
        <v>27250</v>
      </c>
      <c r="Y174" s="664"/>
      <c r="Z174" s="664"/>
      <c r="AA174" s="666"/>
      <c r="AB174" s="665"/>
      <c r="AC174" s="665"/>
      <c r="AD174" s="665"/>
    </row>
    <row r="175" spans="1:31" hidden="1"/>
    <row r="176" spans="1:31" ht="12.75" hidden="1" customHeight="1"/>
    <row r="177" spans="1:31" s="782" customFormat="1" ht="30" hidden="1">
      <c r="A177" s="792" t="s">
        <v>785</v>
      </c>
      <c r="B177" s="791" t="s">
        <v>752</v>
      </c>
      <c r="C177" s="791"/>
      <c r="D177" s="791"/>
      <c r="E177" s="791"/>
      <c r="F177" s="791"/>
      <c r="G177" s="791"/>
      <c r="H177" s="791"/>
      <c r="I177" s="791"/>
      <c r="J177" s="791"/>
      <c r="K177" s="791"/>
      <c r="L177" s="791"/>
      <c r="M177" s="791"/>
      <c r="N177" s="791"/>
      <c r="O177" s="791"/>
      <c r="P177" s="791"/>
      <c r="Q177" s="791"/>
      <c r="R177" s="791"/>
      <c r="S177" s="791"/>
      <c r="T177" s="791"/>
      <c r="U177" s="791"/>
      <c r="V177" s="791"/>
      <c r="W177" s="791"/>
      <c r="X177" s="791"/>
      <c r="Y177" s="791"/>
      <c r="Z177" s="791"/>
      <c r="AA177" s="791"/>
      <c r="AB177" s="791"/>
      <c r="AC177" s="791"/>
      <c r="AD177" s="791"/>
      <c r="AE177" s="791"/>
    </row>
    <row r="178" spans="1:31" s="782" customFormat="1" ht="25.5" hidden="1">
      <c r="A178" s="792"/>
      <c r="B178" s="783" t="s">
        <v>499</v>
      </c>
      <c r="C178" s="783" t="s">
        <v>753</v>
      </c>
      <c r="D178" s="783" t="s">
        <v>754</v>
      </c>
      <c r="E178" s="783" t="s">
        <v>755</v>
      </c>
      <c r="F178" s="783" t="s">
        <v>461</v>
      </c>
      <c r="G178" s="784" t="s">
        <v>756</v>
      </c>
      <c r="H178" s="783" t="s">
        <v>757</v>
      </c>
      <c r="I178" s="783" t="s">
        <v>462</v>
      </c>
      <c r="J178" s="783" t="s">
        <v>463</v>
      </c>
      <c r="K178" s="783" t="s">
        <v>758</v>
      </c>
      <c r="L178" s="785" t="s">
        <v>793</v>
      </c>
      <c r="M178" s="783" t="s">
        <v>759</v>
      </c>
      <c r="N178" s="783" t="s">
        <v>465</v>
      </c>
      <c r="O178" s="783" t="s">
        <v>466</v>
      </c>
      <c r="P178" s="783" t="s">
        <v>469</v>
      </c>
      <c r="Q178" s="783" t="s">
        <v>470</v>
      </c>
      <c r="R178" s="783" t="s">
        <v>760</v>
      </c>
      <c r="S178" s="783" t="s">
        <v>468</v>
      </c>
      <c r="T178" s="783" t="s">
        <v>761</v>
      </c>
      <c r="U178" s="783" t="s">
        <v>762</v>
      </c>
      <c r="V178" s="783" t="s">
        <v>464</v>
      </c>
      <c r="W178" s="783" t="s">
        <v>763</v>
      </c>
      <c r="X178" s="783" t="s">
        <v>764</v>
      </c>
      <c r="Y178" s="783" t="s">
        <v>467</v>
      </c>
      <c r="Z178" s="783"/>
      <c r="AA178" s="783" t="s">
        <v>765</v>
      </c>
      <c r="AB178" s="783"/>
      <c r="AC178" s="783" t="s">
        <v>766</v>
      </c>
      <c r="AD178" s="783"/>
    </row>
    <row r="179" spans="1:31" s="782" customFormat="1" ht="60" hidden="1">
      <c r="A179" s="792" t="str">
        <f>"NMA1"&amp;B179</f>
        <v>NMA1Front Bumper</v>
      </c>
      <c r="B179" s="786" t="s">
        <v>767</v>
      </c>
      <c r="C179" s="778">
        <v>3020</v>
      </c>
      <c r="D179" s="778">
        <v>3215</v>
      </c>
      <c r="E179" s="778">
        <v>3585</v>
      </c>
      <c r="F179" s="778">
        <v>3435</v>
      </c>
      <c r="G179" s="778">
        <v>3095</v>
      </c>
      <c r="H179" s="778">
        <v>3690</v>
      </c>
      <c r="I179" s="778">
        <v>3775</v>
      </c>
      <c r="J179" s="778">
        <v>3735</v>
      </c>
      <c r="K179" s="778">
        <v>3735</v>
      </c>
      <c r="L179" s="778">
        <v>3410</v>
      </c>
      <c r="M179" s="778">
        <v>4210</v>
      </c>
      <c r="N179" s="778">
        <v>3435</v>
      </c>
      <c r="O179" s="778">
        <v>3760</v>
      </c>
      <c r="P179" s="778">
        <v>3560</v>
      </c>
      <c r="Q179" s="778">
        <v>4010</v>
      </c>
      <c r="R179" s="778">
        <v>3655</v>
      </c>
      <c r="S179" s="778">
        <v>3095</v>
      </c>
      <c r="T179" s="778">
        <v>2630</v>
      </c>
      <c r="U179" s="778">
        <v>3270</v>
      </c>
      <c r="V179" s="778">
        <v>3560</v>
      </c>
      <c r="W179" s="778">
        <v>3680</v>
      </c>
      <c r="X179" s="778"/>
      <c r="Y179" s="778" t="s">
        <v>476</v>
      </c>
      <c r="Z179" s="778"/>
      <c r="AA179" s="778" t="s">
        <v>476</v>
      </c>
      <c r="AB179" s="778"/>
      <c r="AC179" s="778" t="s">
        <v>476</v>
      </c>
      <c r="AD179" s="778"/>
    </row>
    <row r="180" spans="1:31" s="782" customFormat="1" ht="60" hidden="1">
      <c r="A180" s="792" t="str">
        <f t="shared" ref="A180:A187" si="25">"NMA1"&amp;B180</f>
        <v>NMA1Rear Bumper</v>
      </c>
      <c r="B180" s="786" t="s">
        <v>768</v>
      </c>
      <c r="C180" s="778">
        <v>3020</v>
      </c>
      <c r="D180" s="778">
        <v>3055</v>
      </c>
      <c r="E180" s="778">
        <v>3160</v>
      </c>
      <c r="F180" s="778">
        <v>3705</v>
      </c>
      <c r="G180" s="778">
        <v>3000</v>
      </c>
      <c r="H180" s="778">
        <v>3330</v>
      </c>
      <c r="I180" s="778">
        <v>3440</v>
      </c>
      <c r="J180" s="778">
        <v>3735</v>
      </c>
      <c r="K180" s="778">
        <v>3735</v>
      </c>
      <c r="L180" s="778">
        <v>2915</v>
      </c>
      <c r="M180" s="778">
        <v>4210</v>
      </c>
      <c r="N180" s="778">
        <v>4090</v>
      </c>
      <c r="O180" s="778">
        <v>3760</v>
      </c>
      <c r="P180" s="778">
        <v>3960</v>
      </c>
      <c r="Q180" s="778">
        <v>4250</v>
      </c>
      <c r="R180" s="778">
        <v>3680</v>
      </c>
      <c r="S180" s="778">
        <v>3255</v>
      </c>
      <c r="T180" s="778">
        <v>2590</v>
      </c>
      <c r="U180" s="778">
        <v>2720</v>
      </c>
      <c r="V180" s="778">
        <v>3560</v>
      </c>
      <c r="W180" s="778">
        <v>3680</v>
      </c>
      <c r="X180" s="778"/>
      <c r="Y180" s="778" t="s">
        <v>476</v>
      </c>
      <c r="Z180" s="787"/>
      <c r="AA180" s="778" t="s">
        <v>476</v>
      </c>
      <c r="AB180" s="787"/>
      <c r="AC180" s="778" t="s">
        <v>476</v>
      </c>
      <c r="AD180" s="787"/>
    </row>
    <row r="181" spans="1:31" s="782" customFormat="1" ht="45" hidden="1">
      <c r="A181" s="792" t="str">
        <f t="shared" si="25"/>
        <v>NMA1Bonnet</v>
      </c>
      <c r="B181" s="786" t="s">
        <v>472</v>
      </c>
      <c r="C181" s="778">
        <v>3295</v>
      </c>
      <c r="D181" s="778">
        <v>3670</v>
      </c>
      <c r="E181" s="778">
        <v>3285</v>
      </c>
      <c r="F181" s="778">
        <v>3510</v>
      </c>
      <c r="G181" s="778">
        <v>3230</v>
      </c>
      <c r="H181" s="778">
        <v>3070</v>
      </c>
      <c r="I181" s="778">
        <v>3430</v>
      </c>
      <c r="J181" s="778">
        <v>3665</v>
      </c>
      <c r="K181" s="778">
        <v>3665</v>
      </c>
      <c r="L181" s="778">
        <v>3055</v>
      </c>
      <c r="M181" s="778">
        <v>5030</v>
      </c>
      <c r="N181" s="778">
        <v>3875</v>
      </c>
      <c r="O181" s="778">
        <v>4370</v>
      </c>
      <c r="P181" s="778">
        <v>4175</v>
      </c>
      <c r="Q181" s="778">
        <v>4520</v>
      </c>
      <c r="R181" s="778">
        <v>3840</v>
      </c>
      <c r="S181" s="778">
        <v>3560</v>
      </c>
      <c r="T181" s="778">
        <v>4090</v>
      </c>
      <c r="U181" s="778">
        <v>3550</v>
      </c>
      <c r="V181" s="778">
        <v>3960</v>
      </c>
      <c r="W181" s="778">
        <v>4625</v>
      </c>
      <c r="X181" s="778">
        <v>3095</v>
      </c>
      <c r="Y181" s="778" t="s">
        <v>769</v>
      </c>
      <c r="Z181" s="778">
        <v>3720</v>
      </c>
      <c r="AA181" s="778" t="s">
        <v>769</v>
      </c>
      <c r="AB181" s="778">
        <v>3495</v>
      </c>
      <c r="AC181" s="778" t="s">
        <v>472</v>
      </c>
      <c r="AD181" s="778">
        <v>4190</v>
      </c>
    </row>
    <row r="182" spans="1:31" s="782" customFormat="1" ht="30" hidden="1">
      <c r="A182" s="792" t="str">
        <f t="shared" si="25"/>
        <v>NMA1Fender</v>
      </c>
      <c r="B182" s="786" t="s">
        <v>473</v>
      </c>
      <c r="C182" s="778">
        <v>2470</v>
      </c>
      <c r="D182" s="778">
        <v>2440</v>
      </c>
      <c r="E182" s="778">
        <v>2535</v>
      </c>
      <c r="F182" s="778">
        <v>2550</v>
      </c>
      <c r="G182" s="778">
        <v>2480</v>
      </c>
      <c r="H182" s="778">
        <v>2470</v>
      </c>
      <c r="I182" s="778">
        <v>2430</v>
      </c>
      <c r="J182" s="778">
        <v>2590</v>
      </c>
      <c r="K182" s="778">
        <v>2590</v>
      </c>
      <c r="L182" s="778">
        <v>2665</v>
      </c>
      <c r="M182" s="778">
        <v>2690</v>
      </c>
      <c r="N182" s="778">
        <v>2870</v>
      </c>
      <c r="O182" s="778">
        <v>2645</v>
      </c>
      <c r="P182" s="778">
        <v>2460</v>
      </c>
      <c r="Q182" s="778">
        <v>2560</v>
      </c>
      <c r="R182" s="778">
        <v>2480</v>
      </c>
      <c r="S182" s="778">
        <v>2505</v>
      </c>
      <c r="T182" s="778">
        <v>2350</v>
      </c>
      <c r="U182" s="778">
        <v>2385</v>
      </c>
      <c r="V182" s="778">
        <v>2600</v>
      </c>
      <c r="W182" s="778">
        <v>2600</v>
      </c>
      <c r="X182" s="778">
        <v>2415</v>
      </c>
      <c r="Y182" s="778" t="s">
        <v>770</v>
      </c>
      <c r="Z182" s="778">
        <v>3065</v>
      </c>
      <c r="AA182" s="778" t="s">
        <v>770</v>
      </c>
      <c r="AB182" s="778">
        <v>1970</v>
      </c>
      <c r="AC182" s="778" t="s">
        <v>473</v>
      </c>
      <c r="AD182" s="778">
        <v>2350</v>
      </c>
    </row>
    <row r="183" spans="1:31" s="782" customFormat="1" ht="45" hidden="1">
      <c r="A183" s="792" t="str">
        <f t="shared" si="25"/>
        <v>NMA1Front Door</v>
      </c>
      <c r="B183" s="786" t="s">
        <v>770</v>
      </c>
      <c r="C183" s="778">
        <v>3230</v>
      </c>
      <c r="D183" s="778">
        <v>3230</v>
      </c>
      <c r="E183" s="778">
        <v>3230</v>
      </c>
      <c r="F183" s="778">
        <v>3535</v>
      </c>
      <c r="G183" s="778">
        <v>3450</v>
      </c>
      <c r="H183" s="778">
        <v>3350</v>
      </c>
      <c r="I183" s="778">
        <v>3450</v>
      </c>
      <c r="J183" s="778">
        <v>3545</v>
      </c>
      <c r="K183" s="778">
        <v>3545</v>
      </c>
      <c r="L183" s="778">
        <v>3370</v>
      </c>
      <c r="M183" s="778">
        <v>3705</v>
      </c>
      <c r="N183" s="778">
        <v>3360</v>
      </c>
      <c r="O183" s="778">
        <v>3470</v>
      </c>
      <c r="P183" s="778">
        <v>3440</v>
      </c>
      <c r="Q183" s="778">
        <v>3480</v>
      </c>
      <c r="R183" s="778">
        <v>3450</v>
      </c>
      <c r="S183" s="778">
        <v>3390</v>
      </c>
      <c r="T183" s="778">
        <v>3490</v>
      </c>
      <c r="U183" s="778">
        <v>3450</v>
      </c>
      <c r="V183" s="778">
        <v>3205</v>
      </c>
      <c r="W183" s="778">
        <v>3505</v>
      </c>
      <c r="X183" s="778">
        <v>3120</v>
      </c>
      <c r="Y183" s="778" t="s">
        <v>771</v>
      </c>
      <c r="Z183" s="778">
        <v>3170</v>
      </c>
      <c r="AA183" s="778" t="s">
        <v>473</v>
      </c>
      <c r="AB183" s="778">
        <v>3120</v>
      </c>
      <c r="AC183" s="778" t="s">
        <v>770</v>
      </c>
      <c r="AD183" s="778">
        <v>3070</v>
      </c>
    </row>
    <row r="184" spans="1:31" s="782" customFormat="1" ht="45" hidden="1">
      <c r="A184" s="792" t="str">
        <f t="shared" si="25"/>
        <v>NMA1Rear Door</v>
      </c>
      <c r="B184" s="786" t="s">
        <v>772</v>
      </c>
      <c r="C184" s="778">
        <v>3230</v>
      </c>
      <c r="D184" s="778">
        <v>3230</v>
      </c>
      <c r="E184" s="778">
        <v>3230</v>
      </c>
      <c r="F184" s="778">
        <v>3745</v>
      </c>
      <c r="G184" s="778">
        <v>3450</v>
      </c>
      <c r="H184" s="778">
        <v>3350</v>
      </c>
      <c r="I184" s="778">
        <v>3450</v>
      </c>
      <c r="J184" s="778">
        <v>3545</v>
      </c>
      <c r="K184" s="778">
        <v>3545</v>
      </c>
      <c r="L184" s="778">
        <v>3370</v>
      </c>
      <c r="M184" s="778">
        <v>3705</v>
      </c>
      <c r="N184" s="778">
        <v>3275</v>
      </c>
      <c r="O184" s="778">
        <v>3470</v>
      </c>
      <c r="P184" s="778">
        <v>3360</v>
      </c>
      <c r="Q184" s="778">
        <v>3480</v>
      </c>
      <c r="R184" s="778">
        <v>3210</v>
      </c>
      <c r="S184" s="778">
        <v>3305</v>
      </c>
      <c r="T184" s="778">
        <v>3290</v>
      </c>
      <c r="U184" s="778">
        <v>3190</v>
      </c>
      <c r="V184" s="778">
        <v>3205</v>
      </c>
      <c r="W184" s="778">
        <v>3505</v>
      </c>
      <c r="X184" s="778">
        <v>3120</v>
      </c>
      <c r="Y184" s="778" t="s">
        <v>773</v>
      </c>
      <c r="Z184" s="778">
        <v>3530</v>
      </c>
      <c r="AA184" s="778"/>
      <c r="AB184" s="778"/>
      <c r="AC184" s="778" t="s">
        <v>774</v>
      </c>
      <c r="AD184" s="778">
        <v>3295</v>
      </c>
    </row>
    <row r="185" spans="1:31" s="782" customFormat="1" ht="45" hidden="1">
      <c r="A185" s="792" t="str">
        <f t="shared" si="25"/>
        <v>NMA1Back Door</v>
      </c>
      <c r="B185" s="786" t="s">
        <v>773</v>
      </c>
      <c r="C185" s="778">
        <v>3215</v>
      </c>
      <c r="D185" s="778">
        <v>3215</v>
      </c>
      <c r="E185" s="778">
        <v>3215</v>
      </c>
      <c r="F185" s="778">
        <v>3785</v>
      </c>
      <c r="G185" s="778">
        <v>3510</v>
      </c>
      <c r="H185" s="778">
        <v>2730</v>
      </c>
      <c r="I185" s="778">
        <v>3510</v>
      </c>
      <c r="J185" s="778">
        <v>3230</v>
      </c>
      <c r="K185" s="778">
        <v>3625</v>
      </c>
      <c r="L185" s="778">
        <v>3410</v>
      </c>
      <c r="M185" s="778">
        <v>3745</v>
      </c>
      <c r="N185" s="778">
        <v>3360</v>
      </c>
      <c r="O185" s="778">
        <v>3350</v>
      </c>
      <c r="P185" s="778">
        <v>3490</v>
      </c>
      <c r="Q185" s="778">
        <v>3760</v>
      </c>
      <c r="R185" s="778">
        <v>3120</v>
      </c>
      <c r="S185" s="778">
        <v>3360</v>
      </c>
      <c r="T185" s="778">
        <v>3735</v>
      </c>
      <c r="U185" s="778">
        <v>3735</v>
      </c>
      <c r="V185" s="778">
        <v>3440</v>
      </c>
      <c r="W185" s="778">
        <v>3535</v>
      </c>
      <c r="X185" s="778">
        <v>3040</v>
      </c>
      <c r="Y185" s="788" t="s">
        <v>474</v>
      </c>
      <c r="Z185" s="778">
        <v>6640</v>
      </c>
      <c r="AA185" s="789"/>
      <c r="AB185" s="789"/>
      <c r="AC185" s="789"/>
      <c r="AD185" s="789"/>
    </row>
    <row r="186" spans="1:31" s="782" customFormat="1" ht="30" hidden="1">
      <c r="A186" s="792" t="str">
        <f t="shared" si="25"/>
        <v>NMA1Roof</v>
      </c>
      <c r="B186" s="790" t="s">
        <v>474</v>
      </c>
      <c r="C186" s="778">
        <v>4880</v>
      </c>
      <c r="D186" s="778">
        <v>4880</v>
      </c>
      <c r="E186" s="778">
        <v>5015</v>
      </c>
      <c r="F186" s="778">
        <v>7050</v>
      </c>
      <c r="G186" s="778">
        <v>5695</v>
      </c>
      <c r="H186" s="778">
        <v>5120</v>
      </c>
      <c r="I186" s="778">
        <v>5385</v>
      </c>
      <c r="J186" s="778">
        <v>5015</v>
      </c>
      <c r="K186" s="778">
        <v>5015</v>
      </c>
      <c r="L186" s="778">
        <v>5370</v>
      </c>
      <c r="M186" s="778">
        <v>5910</v>
      </c>
      <c r="N186" s="778">
        <v>4910</v>
      </c>
      <c r="O186" s="778">
        <v>4975</v>
      </c>
      <c r="P186" s="778">
        <v>4920</v>
      </c>
      <c r="Q186" s="778">
        <v>5920</v>
      </c>
      <c r="R186" s="778">
        <v>5520</v>
      </c>
      <c r="S186" s="778">
        <v>5505</v>
      </c>
      <c r="T186" s="778">
        <v>5090</v>
      </c>
      <c r="U186" s="778">
        <v>5250</v>
      </c>
      <c r="V186" s="778">
        <v>4865</v>
      </c>
      <c r="W186" s="778">
        <v>4630</v>
      </c>
      <c r="X186" s="778">
        <v>4665</v>
      </c>
      <c r="Y186" s="778" t="s">
        <v>475</v>
      </c>
      <c r="Z186" s="778">
        <v>24545</v>
      </c>
      <c r="AA186" s="789"/>
      <c r="AB186" s="787"/>
      <c r="AC186" s="787"/>
      <c r="AD186" s="787"/>
    </row>
    <row r="187" spans="1:31" s="782" customFormat="1" ht="75" hidden="1">
      <c r="A187" s="792" t="str">
        <f t="shared" si="25"/>
        <v>NMA1Full Car Painting</v>
      </c>
      <c r="B187" s="786" t="s">
        <v>475</v>
      </c>
      <c r="C187" s="778">
        <v>31240</v>
      </c>
      <c r="D187" s="778">
        <v>31785</v>
      </c>
      <c r="E187" s="778">
        <v>32015</v>
      </c>
      <c r="F187" s="778">
        <v>36000</v>
      </c>
      <c r="G187" s="778">
        <v>32870</v>
      </c>
      <c r="H187" s="778">
        <v>32145</v>
      </c>
      <c r="I187" s="778">
        <v>33600</v>
      </c>
      <c r="J187" s="778">
        <v>34265</v>
      </c>
      <c r="K187" s="778">
        <v>34570</v>
      </c>
      <c r="L187" s="778">
        <v>32945</v>
      </c>
      <c r="M187" s="778">
        <v>37960</v>
      </c>
      <c r="N187" s="778">
        <v>33865</v>
      </c>
      <c r="O187" s="778">
        <v>33875</v>
      </c>
      <c r="P187" s="778">
        <v>33600</v>
      </c>
      <c r="Q187" s="778">
        <v>35930</v>
      </c>
      <c r="R187" s="778">
        <v>33575</v>
      </c>
      <c r="S187" s="778">
        <v>32710</v>
      </c>
      <c r="T187" s="778">
        <v>32070</v>
      </c>
      <c r="U187" s="778">
        <v>32255</v>
      </c>
      <c r="V187" s="778">
        <v>32265</v>
      </c>
      <c r="W187" s="778">
        <v>35735</v>
      </c>
      <c r="X187" s="778">
        <v>25650</v>
      </c>
      <c r="Y187" s="778"/>
      <c r="Z187" s="778"/>
      <c r="AA187" s="789"/>
      <c r="AB187" s="787"/>
      <c r="AC187" s="787"/>
      <c r="AD187" s="787"/>
    </row>
    <row r="188" spans="1:31" s="782" customFormat="1" hidden="1"/>
    <row r="189" spans="1:31" s="782" customFormat="1" ht="14.25" hidden="1" customHeight="1"/>
    <row r="190" spans="1:31" s="801" customFormat="1" ht="30" hidden="1">
      <c r="A190" s="799" t="s">
        <v>786</v>
      </c>
      <c r="B190" s="800" t="s">
        <v>775</v>
      </c>
      <c r="C190" s="800"/>
      <c r="D190" s="800"/>
      <c r="E190" s="800"/>
      <c r="F190" s="800"/>
      <c r="G190" s="800"/>
      <c r="H190" s="800"/>
      <c r="I190" s="800"/>
      <c r="J190" s="800"/>
      <c r="K190" s="800"/>
      <c r="L190" s="800"/>
      <c r="M190" s="800"/>
      <c r="N190" s="800"/>
      <c r="O190" s="800"/>
      <c r="P190" s="800"/>
      <c r="Q190" s="800"/>
      <c r="R190" s="800"/>
      <c r="S190" s="800"/>
      <c r="T190" s="800"/>
      <c r="U190" s="800"/>
      <c r="V190" s="800"/>
      <c r="W190" s="800"/>
      <c r="X190" s="800"/>
      <c r="Y190" s="800"/>
      <c r="Z190" s="800"/>
      <c r="AA190" s="800"/>
      <c r="AB190" s="800"/>
      <c r="AC190" s="800"/>
      <c r="AD190" s="800"/>
      <c r="AE190" s="800"/>
    </row>
    <row r="191" spans="1:31" s="801" customFormat="1" ht="25.5" hidden="1">
      <c r="A191" s="799"/>
      <c r="B191" s="802" t="s">
        <v>499</v>
      </c>
      <c r="C191" s="802" t="s">
        <v>753</v>
      </c>
      <c r="D191" s="802" t="s">
        <v>754</v>
      </c>
      <c r="E191" s="802" t="s">
        <v>755</v>
      </c>
      <c r="F191" s="802" t="s">
        <v>461</v>
      </c>
      <c r="G191" s="803" t="s">
        <v>756</v>
      </c>
      <c r="H191" s="802" t="s">
        <v>757</v>
      </c>
      <c r="I191" s="802" t="s">
        <v>462</v>
      </c>
      <c r="J191" s="802" t="s">
        <v>463</v>
      </c>
      <c r="K191" s="802" t="s">
        <v>758</v>
      </c>
      <c r="L191" s="804" t="s">
        <v>793</v>
      </c>
      <c r="M191" s="802" t="s">
        <v>759</v>
      </c>
      <c r="N191" s="802" t="s">
        <v>465</v>
      </c>
      <c r="O191" s="802" t="s">
        <v>466</v>
      </c>
      <c r="P191" s="802" t="s">
        <v>469</v>
      </c>
      <c r="Q191" s="802" t="s">
        <v>470</v>
      </c>
      <c r="R191" s="802" t="s">
        <v>760</v>
      </c>
      <c r="S191" s="802" t="s">
        <v>468</v>
      </c>
      <c r="T191" s="802" t="s">
        <v>761</v>
      </c>
      <c r="U191" s="802" t="s">
        <v>762</v>
      </c>
      <c r="V191" s="802" t="s">
        <v>464</v>
      </c>
      <c r="W191" s="802" t="s">
        <v>763</v>
      </c>
      <c r="X191" s="802" t="s">
        <v>764</v>
      </c>
      <c r="Y191" s="802" t="s">
        <v>467</v>
      </c>
      <c r="Z191" s="802"/>
      <c r="AA191" s="802" t="s">
        <v>765</v>
      </c>
      <c r="AB191" s="802"/>
      <c r="AC191" s="802" t="s">
        <v>766</v>
      </c>
      <c r="AD191" s="802"/>
    </row>
    <row r="192" spans="1:31" s="801" customFormat="1" ht="60" hidden="1">
      <c r="A192" s="799" t="str">
        <f>"NMA2"&amp;B192</f>
        <v>NMA2Front Bumper</v>
      </c>
      <c r="B192" s="805" t="s">
        <v>767</v>
      </c>
      <c r="C192" s="806">
        <v>2960</v>
      </c>
      <c r="D192" s="806">
        <v>3150</v>
      </c>
      <c r="E192" s="806">
        <v>3510</v>
      </c>
      <c r="F192" s="806">
        <v>3370</v>
      </c>
      <c r="G192" s="806">
        <v>3030</v>
      </c>
      <c r="H192" s="806">
        <v>3615</v>
      </c>
      <c r="I192" s="806">
        <v>3705</v>
      </c>
      <c r="J192" s="806">
        <v>3665</v>
      </c>
      <c r="K192" s="806">
        <v>3665</v>
      </c>
      <c r="L192" s="806">
        <v>3335</v>
      </c>
      <c r="M192" s="806">
        <v>4120</v>
      </c>
      <c r="N192" s="806">
        <v>3370</v>
      </c>
      <c r="O192" s="806">
        <v>3690</v>
      </c>
      <c r="P192" s="806">
        <v>3490</v>
      </c>
      <c r="Q192" s="806">
        <v>3930</v>
      </c>
      <c r="R192" s="806">
        <v>3585</v>
      </c>
      <c r="S192" s="806">
        <v>3030</v>
      </c>
      <c r="T192" s="806">
        <v>2575</v>
      </c>
      <c r="U192" s="806">
        <v>3210</v>
      </c>
      <c r="V192" s="806">
        <v>3490</v>
      </c>
      <c r="W192" s="806">
        <v>3610</v>
      </c>
      <c r="X192" s="806"/>
      <c r="Y192" s="806" t="s">
        <v>476</v>
      </c>
      <c r="Z192" s="806"/>
      <c r="AA192" s="806" t="s">
        <v>476</v>
      </c>
      <c r="AB192" s="806"/>
      <c r="AC192" s="806" t="s">
        <v>476</v>
      </c>
      <c r="AD192" s="806"/>
    </row>
    <row r="193" spans="1:31" s="801" customFormat="1" ht="60" hidden="1">
      <c r="A193" s="799" t="str">
        <f t="shared" ref="A193:A200" si="26">"NMA2"&amp;B193</f>
        <v>NMA2Rear Bumper</v>
      </c>
      <c r="B193" s="805" t="s">
        <v>768</v>
      </c>
      <c r="C193" s="806">
        <v>2960</v>
      </c>
      <c r="D193" s="806">
        <v>2990</v>
      </c>
      <c r="E193" s="806">
        <v>3095</v>
      </c>
      <c r="F193" s="806">
        <v>3630</v>
      </c>
      <c r="G193" s="806">
        <v>2945</v>
      </c>
      <c r="H193" s="806">
        <v>3265</v>
      </c>
      <c r="I193" s="806">
        <v>3370</v>
      </c>
      <c r="J193" s="806">
        <v>3665</v>
      </c>
      <c r="K193" s="806">
        <v>3665</v>
      </c>
      <c r="L193" s="806">
        <v>2855</v>
      </c>
      <c r="M193" s="806">
        <v>4120</v>
      </c>
      <c r="N193" s="806">
        <v>4010</v>
      </c>
      <c r="O193" s="806">
        <v>3690</v>
      </c>
      <c r="P193" s="806">
        <v>3880</v>
      </c>
      <c r="Q193" s="806">
        <v>4160</v>
      </c>
      <c r="R193" s="806">
        <v>3610</v>
      </c>
      <c r="S193" s="806">
        <v>3190</v>
      </c>
      <c r="T193" s="806">
        <v>2545</v>
      </c>
      <c r="U193" s="806">
        <v>2665</v>
      </c>
      <c r="V193" s="806">
        <v>3490</v>
      </c>
      <c r="W193" s="806">
        <v>3610</v>
      </c>
      <c r="X193" s="806"/>
      <c r="Y193" s="806" t="s">
        <v>476</v>
      </c>
      <c r="Z193" s="807"/>
      <c r="AA193" s="806" t="s">
        <v>476</v>
      </c>
      <c r="AB193" s="807"/>
      <c r="AC193" s="806" t="s">
        <v>476</v>
      </c>
      <c r="AD193" s="807"/>
    </row>
    <row r="194" spans="1:31" s="801" customFormat="1" ht="45" hidden="1">
      <c r="A194" s="799" t="str">
        <f t="shared" si="26"/>
        <v>NMA2Bonnet</v>
      </c>
      <c r="B194" s="805" t="s">
        <v>472</v>
      </c>
      <c r="C194" s="806">
        <v>3230</v>
      </c>
      <c r="D194" s="806">
        <v>3600</v>
      </c>
      <c r="E194" s="806">
        <v>3220</v>
      </c>
      <c r="F194" s="806">
        <v>3440</v>
      </c>
      <c r="G194" s="806">
        <v>3170</v>
      </c>
      <c r="H194" s="806">
        <v>3010</v>
      </c>
      <c r="I194" s="806">
        <v>3360</v>
      </c>
      <c r="J194" s="806">
        <v>3590</v>
      </c>
      <c r="K194" s="806">
        <v>3590</v>
      </c>
      <c r="L194" s="806">
        <v>2990</v>
      </c>
      <c r="M194" s="806">
        <v>4930</v>
      </c>
      <c r="N194" s="806">
        <v>3795</v>
      </c>
      <c r="O194" s="806">
        <v>4280</v>
      </c>
      <c r="P194" s="806">
        <v>4095</v>
      </c>
      <c r="Q194" s="806">
        <v>4435</v>
      </c>
      <c r="R194" s="806">
        <v>3760</v>
      </c>
      <c r="S194" s="806">
        <v>3490</v>
      </c>
      <c r="T194" s="806">
        <v>4010</v>
      </c>
      <c r="U194" s="806">
        <v>3480</v>
      </c>
      <c r="V194" s="806">
        <v>3885</v>
      </c>
      <c r="W194" s="806">
        <v>4530</v>
      </c>
      <c r="X194" s="806">
        <v>3035</v>
      </c>
      <c r="Y194" s="806" t="s">
        <v>769</v>
      </c>
      <c r="Z194" s="806">
        <v>3650</v>
      </c>
      <c r="AA194" s="806" t="s">
        <v>769</v>
      </c>
      <c r="AB194" s="806">
        <v>3425</v>
      </c>
      <c r="AC194" s="806" t="s">
        <v>472</v>
      </c>
      <c r="AD194" s="806">
        <v>4110</v>
      </c>
    </row>
    <row r="195" spans="1:31" s="801" customFormat="1" ht="30" hidden="1">
      <c r="A195" s="799" t="str">
        <f t="shared" si="26"/>
        <v>NMA2Fender</v>
      </c>
      <c r="B195" s="805" t="s">
        <v>473</v>
      </c>
      <c r="C195" s="806">
        <v>2425</v>
      </c>
      <c r="D195" s="806">
        <v>2390</v>
      </c>
      <c r="E195" s="806">
        <v>2490</v>
      </c>
      <c r="F195" s="806">
        <v>2505</v>
      </c>
      <c r="G195" s="806">
        <v>2430</v>
      </c>
      <c r="H195" s="806">
        <v>2425</v>
      </c>
      <c r="I195" s="806">
        <v>2385</v>
      </c>
      <c r="J195" s="806">
        <v>2545</v>
      </c>
      <c r="K195" s="806">
        <v>2545</v>
      </c>
      <c r="L195" s="806">
        <v>2610</v>
      </c>
      <c r="M195" s="806">
        <v>2630</v>
      </c>
      <c r="N195" s="806">
        <v>2815</v>
      </c>
      <c r="O195" s="806">
        <v>2595</v>
      </c>
      <c r="P195" s="806">
        <v>2410</v>
      </c>
      <c r="Q195" s="806">
        <v>2510</v>
      </c>
      <c r="R195" s="806">
        <v>2430</v>
      </c>
      <c r="S195" s="806">
        <v>2455</v>
      </c>
      <c r="T195" s="806">
        <v>2305</v>
      </c>
      <c r="U195" s="806">
        <v>2335</v>
      </c>
      <c r="V195" s="806">
        <v>2550</v>
      </c>
      <c r="W195" s="806">
        <v>2550</v>
      </c>
      <c r="X195" s="806">
        <v>2370</v>
      </c>
      <c r="Y195" s="806" t="s">
        <v>770</v>
      </c>
      <c r="Z195" s="806">
        <v>3000</v>
      </c>
      <c r="AA195" s="806" t="s">
        <v>770</v>
      </c>
      <c r="AB195" s="806">
        <v>1930</v>
      </c>
      <c r="AC195" s="806" t="s">
        <v>473</v>
      </c>
      <c r="AD195" s="806">
        <v>2305</v>
      </c>
    </row>
    <row r="196" spans="1:31" s="801" customFormat="1" ht="45" hidden="1">
      <c r="A196" s="799" t="str">
        <f t="shared" si="26"/>
        <v>NMA2Front Door</v>
      </c>
      <c r="B196" s="805" t="s">
        <v>770</v>
      </c>
      <c r="C196" s="806">
        <v>3170</v>
      </c>
      <c r="D196" s="806">
        <v>3170</v>
      </c>
      <c r="E196" s="806">
        <v>3170</v>
      </c>
      <c r="F196" s="806">
        <v>3465</v>
      </c>
      <c r="G196" s="806">
        <v>3375</v>
      </c>
      <c r="H196" s="806">
        <v>3290</v>
      </c>
      <c r="I196" s="806">
        <v>3375</v>
      </c>
      <c r="J196" s="806">
        <v>3470</v>
      </c>
      <c r="K196" s="806">
        <v>3470</v>
      </c>
      <c r="L196" s="806">
        <v>3305</v>
      </c>
      <c r="M196" s="806">
        <v>3630</v>
      </c>
      <c r="N196" s="806">
        <v>3295</v>
      </c>
      <c r="O196" s="806">
        <v>3400</v>
      </c>
      <c r="P196" s="806">
        <v>3370</v>
      </c>
      <c r="Q196" s="806">
        <v>3410</v>
      </c>
      <c r="R196" s="806">
        <v>3375</v>
      </c>
      <c r="S196" s="806">
        <v>3330</v>
      </c>
      <c r="T196" s="806">
        <v>3415</v>
      </c>
      <c r="U196" s="806">
        <v>3375</v>
      </c>
      <c r="V196" s="806">
        <v>3145</v>
      </c>
      <c r="W196" s="806">
        <v>3430</v>
      </c>
      <c r="X196" s="806">
        <v>3055</v>
      </c>
      <c r="Y196" s="806" t="s">
        <v>771</v>
      </c>
      <c r="Z196" s="806">
        <v>3105</v>
      </c>
      <c r="AA196" s="806" t="s">
        <v>473</v>
      </c>
      <c r="AB196" s="806">
        <v>3055</v>
      </c>
      <c r="AC196" s="806" t="s">
        <v>770</v>
      </c>
      <c r="AD196" s="806">
        <v>3010</v>
      </c>
    </row>
    <row r="197" spans="1:31" s="801" customFormat="1" ht="45" hidden="1">
      <c r="A197" s="799" t="str">
        <f t="shared" si="26"/>
        <v>NMA2Rear Door</v>
      </c>
      <c r="B197" s="805" t="s">
        <v>772</v>
      </c>
      <c r="C197" s="806">
        <v>3170</v>
      </c>
      <c r="D197" s="806">
        <v>3170</v>
      </c>
      <c r="E197" s="806">
        <v>3170</v>
      </c>
      <c r="F197" s="806">
        <v>3670</v>
      </c>
      <c r="G197" s="806">
        <v>3375</v>
      </c>
      <c r="H197" s="806">
        <v>3290</v>
      </c>
      <c r="I197" s="806">
        <v>3375</v>
      </c>
      <c r="J197" s="806">
        <v>3470</v>
      </c>
      <c r="K197" s="806">
        <v>3470</v>
      </c>
      <c r="L197" s="806">
        <v>3305</v>
      </c>
      <c r="M197" s="806">
        <v>3630</v>
      </c>
      <c r="N197" s="806">
        <v>3215</v>
      </c>
      <c r="O197" s="806">
        <v>3400</v>
      </c>
      <c r="P197" s="806">
        <v>3290</v>
      </c>
      <c r="Q197" s="806">
        <v>3410</v>
      </c>
      <c r="R197" s="806">
        <v>3145</v>
      </c>
      <c r="S197" s="806">
        <v>3235</v>
      </c>
      <c r="T197" s="806">
        <v>3225</v>
      </c>
      <c r="U197" s="806">
        <v>3130</v>
      </c>
      <c r="V197" s="806">
        <v>3145</v>
      </c>
      <c r="W197" s="806">
        <v>3430</v>
      </c>
      <c r="X197" s="806">
        <v>3055</v>
      </c>
      <c r="Y197" s="806" t="s">
        <v>773</v>
      </c>
      <c r="Z197" s="806">
        <v>3455</v>
      </c>
      <c r="AA197" s="806"/>
      <c r="AB197" s="806"/>
      <c r="AC197" s="806" t="s">
        <v>774</v>
      </c>
      <c r="AD197" s="806">
        <v>3230</v>
      </c>
    </row>
    <row r="198" spans="1:31" s="801" customFormat="1" ht="45" hidden="1">
      <c r="A198" s="799" t="str">
        <f t="shared" si="26"/>
        <v>NMA2Back Door</v>
      </c>
      <c r="B198" s="805" t="s">
        <v>773</v>
      </c>
      <c r="C198" s="806">
        <v>3150</v>
      </c>
      <c r="D198" s="806">
        <v>3150</v>
      </c>
      <c r="E198" s="806">
        <v>3150</v>
      </c>
      <c r="F198" s="806">
        <v>3710</v>
      </c>
      <c r="G198" s="806">
        <v>3440</v>
      </c>
      <c r="H198" s="806">
        <v>2670</v>
      </c>
      <c r="I198" s="806">
        <v>3440</v>
      </c>
      <c r="J198" s="806">
        <v>3170</v>
      </c>
      <c r="K198" s="806">
        <v>3550</v>
      </c>
      <c r="L198" s="806">
        <v>3335</v>
      </c>
      <c r="M198" s="806">
        <v>3670</v>
      </c>
      <c r="N198" s="806">
        <v>3295</v>
      </c>
      <c r="O198" s="806">
        <v>3290</v>
      </c>
      <c r="P198" s="806">
        <v>3415</v>
      </c>
      <c r="Q198" s="806">
        <v>3690</v>
      </c>
      <c r="R198" s="806">
        <v>3055</v>
      </c>
      <c r="S198" s="806">
        <v>3290</v>
      </c>
      <c r="T198" s="806">
        <v>3665</v>
      </c>
      <c r="U198" s="806">
        <v>3665</v>
      </c>
      <c r="V198" s="806">
        <v>3370</v>
      </c>
      <c r="W198" s="806">
        <v>3465</v>
      </c>
      <c r="X198" s="806">
        <v>2975</v>
      </c>
      <c r="Y198" s="808" t="s">
        <v>474</v>
      </c>
      <c r="Z198" s="806">
        <v>6505</v>
      </c>
      <c r="AA198" s="809"/>
      <c r="AB198" s="809"/>
      <c r="AC198" s="809"/>
      <c r="AD198" s="809"/>
    </row>
    <row r="199" spans="1:31" s="801" customFormat="1" ht="30" hidden="1">
      <c r="A199" s="799" t="str">
        <f t="shared" si="26"/>
        <v>NMA2Roof</v>
      </c>
      <c r="B199" s="810" t="s">
        <v>474</v>
      </c>
      <c r="C199" s="806">
        <v>4785</v>
      </c>
      <c r="D199" s="806">
        <v>4785</v>
      </c>
      <c r="E199" s="806">
        <v>4910</v>
      </c>
      <c r="F199" s="806">
        <v>6905</v>
      </c>
      <c r="G199" s="806">
        <v>5585</v>
      </c>
      <c r="H199" s="806">
        <v>5015</v>
      </c>
      <c r="I199" s="806">
        <v>5280</v>
      </c>
      <c r="J199" s="806">
        <v>4910</v>
      </c>
      <c r="K199" s="806">
        <v>4910</v>
      </c>
      <c r="L199" s="806">
        <v>5265</v>
      </c>
      <c r="M199" s="806">
        <v>5790</v>
      </c>
      <c r="N199" s="806">
        <v>4815</v>
      </c>
      <c r="O199" s="806">
        <v>4880</v>
      </c>
      <c r="P199" s="806">
        <v>4825</v>
      </c>
      <c r="Q199" s="806">
        <v>5800</v>
      </c>
      <c r="R199" s="806">
        <v>5410</v>
      </c>
      <c r="S199" s="806">
        <v>5390</v>
      </c>
      <c r="T199" s="806">
        <v>4985</v>
      </c>
      <c r="U199" s="806">
        <v>5145</v>
      </c>
      <c r="V199" s="806">
        <v>4770</v>
      </c>
      <c r="W199" s="806">
        <v>4535</v>
      </c>
      <c r="X199" s="806">
        <v>4570</v>
      </c>
      <c r="Y199" s="806" t="s">
        <v>475</v>
      </c>
      <c r="Z199" s="806">
        <v>24055</v>
      </c>
      <c r="AA199" s="809"/>
      <c r="AB199" s="807"/>
      <c r="AC199" s="807"/>
      <c r="AD199" s="807"/>
    </row>
    <row r="200" spans="1:31" s="801" customFormat="1" ht="75" hidden="1">
      <c r="A200" s="799" t="str">
        <f t="shared" si="26"/>
        <v>NMA2Full Car Painting</v>
      </c>
      <c r="B200" s="805" t="s">
        <v>475</v>
      </c>
      <c r="C200" s="806">
        <v>30615</v>
      </c>
      <c r="D200" s="806">
        <v>31150</v>
      </c>
      <c r="E200" s="806">
        <v>31375</v>
      </c>
      <c r="F200" s="806">
        <v>35280</v>
      </c>
      <c r="G200" s="806">
        <v>32215</v>
      </c>
      <c r="H200" s="806">
        <v>31505</v>
      </c>
      <c r="I200" s="806">
        <v>32930</v>
      </c>
      <c r="J200" s="806">
        <v>33575</v>
      </c>
      <c r="K200" s="806">
        <v>33880</v>
      </c>
      <c r="L200" s="806">
        <v>32290</v>
      </c>
      <c r="M200" s="806">
        <v>37200</v>
      </c>
      <c r="N200" s="806">
        <v>33185</v>
      </c>
      <c r="O200" s="806">
        <v>33210</v>
      </c>
      <c r="P200" s="806">
        <v>32930</v>
      </c>
      <c r="Q200" s="806">
        <v>35210</v>
      </c>
      <c r="R200" s="806">
        <v>32905</v>
      </c>
      <c r="S200" s="806">
        <v>32055</v>
      </c>
      <c r="T200" s="806">
        <v>31430</v>
      </c>
      <c r="U200" s="806">
        <v>31610</v>
      </c>
      <c r="V200" s="806">
        <v>31615</v>
      </c>
      <c r="W200" s="806">
        <v>35025</v>
      </c>
      <c r="X200" s="806">
        <v>25135</v>
      </c>
      <c r="Y200" s="806"/>
      <c r="Z200" s="806"/>
      <c r="AA200" s="809"/>
      <c r="AB200" s="807"/>
      <c r="AC200" s="807"/>
      <c r="AD200" s="807"/>
    </row>
    <row r="201" spans="1:31" s="782" customFormat="1" hidden="1"/>
    <row r="202" spans="1:31" s="782" customFormat="1" hidden="1"/>
    <row r="203" spans="1:31" s="795" customFormat="1" ht="30" hidden="1">
      <c r="A203" s="793" t="s">
        <v>787</v>
      </c>
      <c r="B203" s="794" t="s">
        <v>776</v>
      </c>
      <c r="C203" s="794"/>
      <c r="D203" s="794"/>
      <c r="E203" s="794"/>
      <c r="F203" s="794"/>
      <c r="G203" s="794"/>
      <c r="H203" s="794"/>
      <c r="I203" s="794"/>
      <c r="J203" s="794"/>
      <c r="K203" s="794"/>
      <c r="L203" s="794"/>
      <c r="M203" s="794"/>
      <c r="N203" s="794"/>
      <c r="O203" s="794"/>
      <c r="P203" s="794"/>
      <c r="Q203" s="794"/>
      <c r="R203" s="794"/>
      <c r="S203" s="794"/>
      <c r="T203" s="794"/>
      <c r="U203" s="794"/>
      <c r="V203" s="794"/>
      <c r="W203" s="794"/>
      <c r="X203" s="794"/>
      <c r="Y203" s="794"/>
      <c r="Z203" s="794"/>
      <c r="AA203" s="794"/>
      <c r="AB203" s="794"/>
      <c r="AC203" s="794"/>
      <c r="AD203" s="794"/>
      <c r="AE203" s="794"/>
    </row>
    <row r="204" spans="1:31" s="795" customFormat="1" ht="25.5" hidden="1">
      <c r="A204" s="793"/>
      <c r="B204" s="796" t="s">
        <v>499</v>
      </c>
      <c r="C204" s="783" t="s">
        <v>753</v>
      </c>
      <c r="D204" s="783" t="s">
        <v>754</v>
      </c>
      <c r="E204" s="783" t="s">
        <v>755</v>
      </c>
      <c r="F204" s="783" t="s">
        <v>461</v>
      </c>
      <c r="G204" s="784" t="s">
        <v>756</v>
      </c>
      <c r="H204" s="783" t="s">
        <v>757</v>
      </c>
      <c r="I204" s="783" t="s">
        <v>462</v>
      </c>
      <c r="J204" s="783" t="s">
        <v>463</v>
      </c>
      <c r="K204" s="783" t="s">
        <v>758</v>
      </c>
      <c r="L204" s="785" t="s">
        <v>793</v>
      </c>
      <c r="M204" s="783" t="s">
        <v>759</v>
      </c>
      <c r="N204" s="783" t="s">
        <v>465</v>
      </c>
      <c r="O204" s="783" t="s">
        <v>807</v>
      </c>
      <c r="P204" s="783" t="s">
        <v>469</v>
      </c>
      <c r="Q204" s="783" t="s">
        <v>470</v>
      </c>
      <c r="R204" s="783" t="s">
        <v>760</v>
      </c>
      <c r="S204" s="783" t="s">
        <v>468</v>
      </c>
      <c r="T204" s="783" t="s">
        <v>761</v>
      </c>
      <c r="U204" s="783" t="s">
        <v>762</v>
      </c>
      <c r="V204" s="783" t="s">
        <v>808</v>
      </c>
      <c r="W204" s="783" t="s">
        <v>763</v>
      </c>
      <c r="X204" s="783" t="s">
        <v>764</v>
      </c>
      <c r="Y204" s="783" t="s">
        <v>467</v>
      </c>
      <c r="Z204" s="783"/>
      <c r="AA204" s="783" t="s">
        <v>765</v>
      </c>
      <c r="AB204" s="783"/>
      <c r="AC204" s="783" t="s">
        <v>766</v>
      </c>
      <c r="AD204" s="783"/>
    </row>
    <row r="205" spans="1:31" s="795" customFormat="1" ht="60" hidden="1">
      <c r="A205" s="793" t="str">
        <f>"NMB"&amp;B205</f>
        <v>NMBFront Bumper</v>
      </c>
      <c r="B205" s="797" t="s">
        <v>767</v>
      </c>
      <c r="C205" s="778">
        <v>3076</v>
      </c>
      <c r="D205" s="778">
        <v>3344</v>
      </c>
      <c r="E205" s="778">
        <v>3734</v>
      </c>
      <c r="F205" s="778">
        <v>3568</v>
      </c>
      <c r="G205" s="778">
        <v>3221</v>
      </c>
      <c r="H205" s="778">
        <v>3836</v>
      </c>
      <c r="I205" s="778">
        <v>3927</v>
      </c>
      <c r="J205" s="778">
        <v>3884</v>
      </c>
      <c r="K205" s="778">
        <v>3884</v>
      </c>
      <c r="L205" s="778">
        <v>3547</v>
      </c>
      <c r="M205" s="778">
        <v>4376</v>
      </c>
      <c r="N205" s="778">
        <v>3510</v>
      </c>
      <c r="O205" s="778">
        <v>3221</v>
      </c>
      <c r="P205" s="778">
        <v>3702</v>
      </c>
      <c r="Q205" s="778">
        <v>4173</v>
      </c>
      <c r="R205" s="778">
        <v>3804</v>
      </c>
      <c r="S205" s="778">
        <v>3221</v>
      </c>
      <c r="T205" s="778">
        <v>2745</v>
      </c>
      <c r="U205" s="778">
        <v>3402</v>
      </c>
      <c r="V205" s="778">
        <v>4039</v>
      </c>
      <c r="W205" s="778">
        <v>3831</v>
      </c>
      <c r="X205" s="778"/>
      <c r="Y205" s="778" t="s">
        <v>476</v>
      </c>
      <c r="Z205" s="778"/>
      <c r="AA205" s="778" t="s">
        <v>476</v>
      </c>
      <c r="AB205" s="778"/>
      <c r="AC205" s="778" t="s">
        <v>476</v>
      </c>
      <c r="AD205" s="778"/>
    </row>
    <row r="206" spans="1:31" s="795" customFormat="1" ht="60" hidden="1">
      <c r="A206" s="793" t="str">
        <f t="shared" ref="A206:A213" si="27">"NMB"&amp;B206</f>
        <v>NMBRear Bumper</v>
      </c>
      <c r="B206" s="797" t="s">
        <v>768</v>
      </c>
      <c r="C206" s="778">
        <v>3076</v>
      </c>
      <c r="D206" s="778">
        <v>3178</v>
      </c>
      <c r="E206" s="778">
        <v>3285</v>
      </c>
      <c r="F206" s="778">
        <v>3863</v>
      </c>
      <c r="G206" s="778">
        <v>3124</v>
      </c>
      <c r="H206" s="778">
        <v>3461</v>
      </c>
      <c r="I206" s="778">
        <v>3579</v>
      </c>
      <c r="J206" s="778">
        <v>3884</v>
      </c>
      <c r="K206" s="778">
        <v>3884</v>
      </c>
      <c r="L206" s="778">
        <v>2991</v>
      </c>
      <c r="M206" s="778">
        <v>4376</v>
      </c>
      <c r="N206" s="778">
        <v>4253</v>
      </c>
      <c r="O206" s="778">
        <v>3552</v>
      </c>
      <c r="P206" s="778">
        <v>4120</v>
      </c>
      <c r="Q206" s="778">
        <v>4419</v>
      </c>
      <c r="R206" s="778">
        <v>3831</v>
      </c>
      <c r="S206" s="778">
        <v>3392</v>
      </c>
      <c r="T206" s="778">
        <v>2696</v>
      </c>
      <c r="U206" s="778">
        <v>2830</v>
      </c>
      <c r="V206" s="778">
        <v>4152</v>
      </c>
      <c r="W206" s="778">
        <v>3831</v>
      </c>
      <c r="X206" s="778"/>
      <c r="Y206" s="778" t="s">
        <v>476</v>
      </c>
      <c r="Z206" s="787"/>
      <c r="AA206" s="778" t="s">
        <v>476</v>
      </c>
      <c r="AB206" s="787"/>
      <c r="AC206" s="778" t="s">
        <v>476</v>
      </c>
      <c r="AD206" s="787"/>
    </row>
    <row r="207" spans="1:31" s="795" customFormat="1" ht="30" hidden="1">
      <c r="A207" s="793" t="str">
        <f t="shared" si="27"/>
        <v>NMBBonnet</v>
      </c>
      <c r="B207" s="797" t="s">
        <v>472</v>
      </c>
      <c r="C207" s="778">
        <v>3429</v>
      </c>
      <c r="D207" s="778">
        <v>3820</v>
      </c>
      <c r="E207" s="778">
        <v>3354</v>
      </c>
      <c r="F207" s="778">
        <v>3654</v>
      </c>
      <c r="G207" s="778">
        <v>3317</v>
      </c>
      <c r="H207" s="778">
        <v>3194</v>
      </c>
      <c r="I207" s="778">
        <v>3568</v>
      </c>
      <c r="J207" s="778">
        <v>3815</v>
      </c>
      <c r="K207" s="778">
        <v>3815</v>
      </c>
      <c r="L207" s="778">
        <v>3178</v>
      </c>
      <c r="M207" s="778">
        <v>5238</v>
      </c>
      <c r="N207" s="778">
        <v>3970</v>
      </c>
      <c r="O207" s="778">
        <v>3585</v>
      </c>
      <c r="P207" s="778">
        <v>4339</v>
      </c>
      <c r="Q207" s="778">
        <v>4703</v>
      </c>
      <c r="R207" s="778">
        <v>3996</v>
      </c>
      <c r="S207" s="778">
        <v>3702</v>
      </c>
      <c r="T207" s="778">
        <v>4253</v>
      </c>
      <c r="U207" s="778">
        <v>3697</v>
      </c>
      <c r="V207" s="778">
        <v>3873</v>
      </c>
      <c r="W207" s="778">
        <v>4815</v>
      </c>
      <c r="X207" s="778">
        <v>3178</v>
      </c>
      <c r="Y207" s="778" t="s">
        <v>769</v>
      </c>
      <c r="Z207" s="778">
        <v>3189</v>
      </c>
      <c r="AA207" s="778" t="s">
        <v>769</v>
      </c>
      <c r="AB207" s="778">
        <v>3638</v>
      </c>
      <c r="AC207" s="778" t="s">
        <v>472</v>
      </c>
      <c r="AD207" s="778">
        <v>4360</v>
      </c>
    </row>
    <row r="208" spans="1:31" s="795" customFormat="1" ht="30" hidden="1">
      <c r="A208" s="793" t="str">
        <f t="shared" si="27"/>
        <v>NMBFender</v>
      </c>
      <c r="B208" s="797" t="s">
        <v>473</v>
      </c>
      <c r="C208" s="778">
        <v>2568</v>
      </c>
      <c r="D208" s="778">
        <v>2541</v>
      </c>
      <c r="E208" s="778">
        <v>2643</v>
      </c>
      <c r="F208" s="778">
        <v>2659</v>
      </c>
      <c r="G208" s="778">
        <v>2579</v>
      </c>
      <c r="H208" s="778">
        <v>2568</v>
      </c>
      <c r="I208" s="778">
        <v>2536</v>
      </c>
      <c r="J208" s="778">
        <v>2696</v>
      </c>
      <c r="K208" s="778">
        <v>2696</v>
      </c>
      <c r="L208" s="778">
        <v>2777</v>
      </c>
      <c r="M208" s="778">
        <v>2793</v>
      </c>
      <c r="N208" s="778">
        <v>2991</v>
      </c>
      <c r="O208" s="778">
        <v>2563</v>
      </c>
      <c r="P208" s="778">
        <v>2563</v>
      </c>
      <c r="Q208" s="778">
        <v>2664</v>
      </c>
      <c r="R208" s="778">
        <v>2579</v>
      </c>
      <c r="S208" s="778">
        <v>2605</v>
      </c>
      <c r="T208" s="778">
        <v>2445</v>
      </c>
      <c r="U208" s="778">
        <v>2477</v>
      </c>
      <c r="V208" s="778">
        <v>2675</v>
      </c>
      <c r="W208" s="778">
        <v>2702</v>
      </c>
      <c r="X208" s="778">
        <v>2520</v>
      </c>
      <c r="Y208" s="778" t="s">
        <v>770</v>
      </c>
      <c r="Z208" s="778">
        <v>3296</v>
      </c>
      <c r="AA208" s="778" t="s">
        <v>770</v>
      </c>
      <c r="AB208" s="778">
        <v>2049</v>
      </c>
      <c r="AC208" s="778" t="s">
        <v>473</v>
      </c>
      <c r="AD208" s="778">
        <v>2445</v>
      </c>
    </row>
    <row r="209" spans="1:31" s="795" customFormat="1" ht="45" hidden="1">
      <c r="A209" s="793" t="str">
        <f t="shared" si="27"/>
        <v>NMBFront Door</v>
      </c>
      <c r="B209" s="797" t="s">
        <v>770</v>
      </c>
      <c r="C209" s="778">
        <v>3371</v>
      </c>
      <c r="D209" s="778">
        <v>3371</v>
      </c>
      <c r="E209" s="778">
        <v>3371</v>
      </c>
      <c r="F209" s="778">
        <v>3638</v>
      </c>
      <c r="G209" s="778">
        <v>3590</v>
      </c>
      <c r="H209" s="778">
        <v>3494</v>
      </c>
      <c r="I209" s="778">
        <v>3590</v>
      </c>
      <c r="J209" s="778">
        <v>3686</v>
      </c>
      <c r="K209" s="778">
        <v>3686</v>
      </c>
      <c r="L209" s="778">
        <v>3510</v>
      </c>
      <c r="M209" s="778">
        <v>3863</v>
      </c>
      <c r="N209" s="778">
        <v>3504</v>
      </c>
      <c r="O209" s="778">
        <v>3820</v>
      </c>
      <c r="P209" s="778">
        <v>3579</v>
      </c>
      <c r="Q209" s="778">
        <v>3617</v>
      </c>
      <c r="R209" s="778">
        <v>3590</v>
      </c>
      <c r="S209" s="778">
        <v>3526</v>
      </c>
      <c r="T209" s="778">
        <v>3627</v>
      </c>
      <c r="U209" s="778">
        <v>3590</v>
      </c>
      <c r="V209" s="778">
        <v>3659</v>
      </c>
      <c r="W209" s="778">
        <v>3643</v>
      </c>
      <c r="X209" s="778">
        <v>3253</v>
      </c>
      <c r="Y209" s="778" t="s">
        <v>771</v>
      </c>
      <c r="Z209" s="778">
        <v>3670</v>
      </c>
      <c r="AA209" s="778" t="s">
        <v>473</v>
      </c>
      <c r="AB209" s="778">
        <v>3253</v>
      </c>
      <c r="AC209" s="778" t="s">
        <v>770</v>
      </c>
      <c r="AD209" s="778">
        <v>3194</v>
      </c>
    </row>
    <row r="210" spans="1:31" s="795" customFormat="1" ht="45" hidden="1">
      <c r="A210" s="793" t="str">
        <f t="shared" si="27"/>
        <v>NMBRear Door</v>
      </c>
      <c r="B210" s="797" t="s">
        <v>772</v>
      </c>
      <c r="C210" s="778">
        <v>3371</v>
      </c>
      <c r="D210" s="778">
        <v>3371</v>
      </c>
      <c r="E210" s="778">
        <v>3371</v>
      </c>
      <c r="F210" s="778">
        <v>3895</v>
      </c>
      <c r="G210" s="778">
        <v>3590</v>
      </c>
      <c r="H210" s="778">
        <v>3494</v>
      </c>
      <c r="I210" s="778">
        <v>3590</v>
      </c>
      <c r="J210" s="778">
        <v>3686</v>
      </c>
      <c r="K210" s="778">
        <v>3686</v>
      </c>
      <c r="L210" s="778">
        <v>3510</v>
      </c>
      <c r="M210" s="778">
        <v>3863</v>
      </c>
      <c r="N210" s="778">
        <v>3349</v>
      </c>
      <c r="O210" s="778">
        <v>3456</v>
      </c>
      <c r="P210" s="778">
        <v>3494</v>
      </c>
      <c r="Q210" s="778">
        <v>3617</v>
      </c>
      <c r="R210" s="778">
        <v>3338</v>
      </c>
      <c r="S210" s="778">
        <v>3371</v>
      </c>
      <c r="T210" s="778">
        <v>3419</v>
      </c>
      <c r="U210" s="778">
        <v>3322</v>
      </c>
      <c r="V210" s="778">
        <v>3954</v>
      </c>
      <c r="W210" s="778">
        <v>3643</v>
      </c>
      <c r="X210" s="778">
        <v>3253</v>
      </c>
      <c r="Y210" s="778" t="s">
        <v>773</v>
      </c>
      <c r="Z210" s="778">
        <v>6907</v>
      </c>
      <c r="AA210" s="778"/>
      <c r="AB210" s="778"/>
      <c r="AC210" s="778" t="s">
        <v>774</v>
      </c>
      <c r="AD210" s="778">
        <v>3429</v>
      </c>
    </row>
    <row r="211" spans="1:31" s="795" customFormat="1" ht="45" hidden="1">
      <c r="A211" s="793" t="str">
        <f t="shared" si="27"/>
        <v>NMBBack Door</v>
      </c>
      <c r="B211" s="797" t="s">
        <v>773</v>
      </c>
      <c r="C211" s="778">
        <v>3344</v>
      </c>
      <c r="D211" s="778">
        <v>3344</v>
      </c>
      <c r="E211" s="778">
        <v>3344</v>
      </c>
      <c r="F211" s="778">
        <v>3938</v>
      </c>
      <c r="G211" s="778">
        <v>3654</v>
      </c>
      <c r="H211" s="778">
        <v>2836</v>
      </c>
      <c r="I211" s="778">
        <v>3654</v>
      </c>
      <c r="J211" s="778">
        <v>3371</v>
      </c>
      <c r="K211" s="778">
        <v>3772</v>
      </c>
      <c r="L211" s="778">
        <v>3547</v>
      </c>
      <c r="M211" s="778">
        <v>3895</v>
      </c>
      <c r="N211" s="778">
        <v>3504</v>
      </c>
      <c r="O211" s="778">
        <v>3708</v>
      </c>
      <c r="P211" s="778">
        <v>3627</v>
      </c>
      <c r="Q211" s="778">
        <v>3911</v>
      </c>
      <c r="R211" s="778">
        <v>3253</v>
      </c>
      <c r="S211" s="778">
        <v>3472</v>
      </c>
      <c r="T211" s="778">
        <v>3884</v>
      </c>
      <c r="U211" s="778">
        <v>3884</v>
      </c>
      <c r="V211" s="778">
        <v>4055</v>
      </c>
      <c r="W211" s="778">
        <v>3681</v>
      </c>
      <c r="X211" s="778">
        <v>3162</v>
      </c>
      <c r="Y211" s="788" t="s">
        <v>474</v>
      </c>
      <c r="Z211" s="778">
        <v>25525</v>
      </c>
      <c r="AA211" s="789"/>
      <c r="AB211" s="789"/>
      <c r="AC211" s="789"/>
      <c r="AD211" s="789"/>
    </row>
    <row r="212" spans="1:31" s="795" customFormat="1" ht="30" hidden="1">
      <c r="A212" s="793" t="str">
        <f t="shared" si="27"/>
        <v>NMBRoof</v>
      </c>
      <c r="B212" s="798" t="s">
        <v>474</v>
      </c>
      <c r="C212" s="778">
        <v>5072</v>
      </c>
      <c r="D212" s="778">
        <v>5072</v>
      </c>
      <c r="E212" s="778">
        <v>5216</v>
      </c>
      <c r="F212" s="778">
        <v>7324</v>
      </c>
      <c r="G212" s="778">
        <v>5922</v>
      </c>
      <c r="H212" s="778">
        <v>5323</v>
      </c>
      <c r="I212" s="778">
        <v>5607</v>
      </c>
      <c r="J212" s="778">
        <v>5216</v>
      </c>
      <c r="K212" s="778">
        <v>5216</v>
      </c>
      <c r="L212" s="778">
        <v>5580</v>
      </c>
      <c r="M212" s="778">
        <v>6147</v>
      </c>
      <c r="N212" s="778">
        <v>5115</v>
      </c>
      <c r="O212" s="778">
        <v>6345</v>
      </c>
      <c r="P212" s="778">
        <v>5120</v>
      </c>
      <c r="Q212" s="778">
        <v>6158</v>
      </c>
      <c r="R212" s="778">
        <v>5746</v>
      </c>
      <c r="S212" s="778">
        <v>5730</v>
      </c>
      <c r="T212" s="778">
        <v>5291</v>
      </c>
      <c r="U212" s="778">
        <v>5457</v>
      </c>
      <c r="V212" s="778">
        <v>7517</v>
      </c>
      <c r="W212" s="778">
        <v>4815</v>
      </c>
      <c r="X212" s="778">
        <v>4852</v>
      </c>
      <c r="Y212" s="778" t="s">
        <v>475</v>
      </c>
      <c r="Z212" s="778">
        <v>22825</v>
      </c>
      <c r="AA212" s="789"/>
      <c r="AB212" s="787"/>
      <c r="AC212" s="787"/>
      <c r="AD212" s="787"/>
    </row>
    <row r="213" spans="1:31" s="795" customFormat="1" ht="60" hidden="1">
      <c r="A213" s="793" t="str">
        <f t="shared" si="27"/>
        <v>NMBFull Car Painting</v>
      </c>
      <c r="B213" s="797" t="s">
        <v>475</v>
      </c>
      <c r="C213" s="778">
        <v>32491</v>
      </c>
      <c r="D213" s="778">
        <v>33058</v>
      </c>
      <c r="E213" s="778">
        <v>33293</v>
      </c>
      <c r="F213" s="778">
        <v>37439</v>
      </c>
      <c r="G213" s="778">
        <v>34187</v>
      </c>
      <c r="H213" s="778">
        <v>33432</v>
      </c>
      <c r="I213" s="778">
        <v>34946</v>
      </c>
      <c r="J213" s="778">
        <v>35631</v>
      </c>
      <c r="K213" s="778">
        <v>35952</v>
      </c>
      <c r="L213" s="778">
        <v>34261</v>
      </c>
      <c r="M213" s="778">
        <v>39478</v>
      </c>
      <c r="N213" s="778">
        <v>35219</v>
      </c>
      <c r="O213" s="778">
        <v>35251</v>
      </c>
      <c r="P213" s="778">
        <v>34946</v>
      </c>
      <c r="Q213" s="778">
        <v>37364</v>
      </c>
      <c r="R213" s="778">
        <v>34919</v>
      </c>
      <c r="S213" s="778">
        <v>34021</v>
      </c>
      <c r="T213" s="778">
        <v>33352</v>
      </c>
      <c r="U213" s="778">
        <v>33545</v>
      </c>
      <c r="V213" s="778">
        <v>38632</v>
      </c>
      <c r="W213" s="778">
        <v>37161</v>
      </c>
      <c r="X213" s="778">
        <v>26675</v>
      </c>
      <c r="Y213" s="778"/>
      <c r="Z213" s="778"/>
      <c r="AA213" s="789"/>
      <c r="AB213" s="787"/>
      <c r="AC213" s="787"/>
      <c r="AD213" s="787"/>
    </row>
    <row r="214" spans="1:31" hidden="1"/>
    <row r="215" spans="1:31" hidden="1"/>
    <row r="216" spans="1:31" ht="30" hidden="1">
      <c r="A216" s="646" t="s">
        <v>788</v>
      </c>
      <c r="B216" s="642" t="s">
        <v>777</v>
      </c>
      <c r="C216" s="642"/>
      <c r="D216" s="642"/>
      <c r="E216" s="642"/>
      <c r="F216" s="642"/>
      <c r="G216" s="642"/>
      <c r="H216" s="642"/>
      <c r="I216" s="642"/>
      <c r="J216" s="642"/>
      <c r="K216" s="642"/>
      <c r="L216" s="642"/>
      <c r="M216" s="642"/>
      <c r="N216" s="642"/>
      <c r="O216" s="642"/>
      <c r="P216" s="642"/>
      <c r="Q216" s="642"/>
      <c r="R216" s="642"/>
      <c r="S216" s="642"/>
      <c r="T216" s="642"/>
      <c r="U216" s="642"/>
      <c r="V216" s="642"/>
      <c r="W216" s="642"/>
      <c r="X216" s="642"/>
      <c r="Y216" s="642"/>
      <c r="Z216" s="642"/>
      <c r="AA216" s="642"/>
      <c r="AB216" s="642"/>
      <c r="AC216" s="642"/>
      <c r="AD216" s="642"/>
      <c r="AE216" s="642"/>
    </row>
    <row r="217" spans="1:31" ht="25.5" hidden="1">
      <c r="A217" s="646"/>
      <c r="B217" s="637" t="s">
        <v>499</v>
      </c>
      <c r="C217" s="637" t="s">
        <v>753</v>
      </c>
      <c r="D217" s="637" t="s">
        <v>754</v>
      </c>
      <c r="E217" s="667" t="s">
        <v>755</v>
      </c>
      <c r="F217" s="667" t="s">
        <v>461</v>
      </c>
      <c r="G217" s="638" t="s">
        <v>756</v>
      </c>
      <c r="H217" s="667" t="s">
        <v>757</v>
      </c>
      <c r="I217" s="667" t="s">
        <v>462</v>
      </c>
      <c r="J217" s="667" t="s">
        <v>463</v>
      </c>
      <c r="K217" s="667" t="s">
        <v>758</v>
      </c>
      <c r="L217" s="652" t="s">
        <v>793</v>
      </c>
      <c r="M217" s="667" t="s">
        <v>759</v>
      </c>
      <c r="N217" s="667" t="s">
        <v>465</v>
      </c>
      <c r="O217" s="667" t="s">
        <v>466</v>
      </c>
      <c r="P217" s="667" t="s">
        <v>469</v>
      </c>
      <c r="Q217" s="667" t="s">
        <v>470</v>
      </c>
      <c r="R217" s="667" t="s">
        <v>760</v>
      </c>
      <c r="S217" s="667" t="s">
        <v>468</v>
      </c>
      <c r="T217" s="667" t="s">
        <v>761</v>
      </c>
      <c r="U217" s="667" t="s">
        <v>762</v>
      </c>
      <c r="V217" s="667" t="s">
        <v>464</v>
      </c>
      <c r="W217" s="667" t="s">
        <v>763</v>
      </c>
      <c r="X217" s="667" t="s">
        <v>764</v>
      </c>
      <c r="Y217" s="667" t="s">
        <v>467</v>
      </c>
      <c r="Z217" s="667"/>
      <c r="AA217" s="667" t="s">
        <v>765</v>
      </c>
      <c r="AB217" s="667"/>
      <c r="AD217" s="1576" t="s">
        <v>766</v>
      </c>
      <c r="AE217" s="1576"/>
    </row>
    <row r="218" spans="1:31" ht="60" hidden="1">
      <c r="A218" s="646" t="str">
        <f>"NMC"&amp;B218</f>
        <v>NMCFront Bumper</v>
      </c>
      <c r="B218" s="639" t="s">
        <v>767</v>
      </c>
      <c r="C218" s="640">
        <v>2535</v>
      </c>
      <c r="D218" s="640">
        <v>2735</v>
      </c>
      <c r="E218" s="664">
        <v>3050</v>
      </c>
      <c r="F218" s="664">
        <v>2920</v>
      </c>
      <c r="G218" s="664">
        <v>2630</v>
      </c>
      <c r="H218" s="664">
        <v>3135</v>
      </c>
      <c r="I218" s="664">
        <v>3210</v>
      </c>
      <c r="J218" s="664">
        <v>3175</v>
      </c>
      <c r="K218" s="664">
        <v>3175</v>
      </c>
      <c r="L218" s="664">
        <v>2895</v>
      </c>
      <c r="M218" s="664">
        <v>3575</v>
      </c>
      <c r="N218" s="664">
        <v>2825</v>
      </c>
      <c r="O218" s="664">
        <v>3090</v>
      </c>
      <c r="P218" s="664">
        <v>2960</v>
      </c>
      <c r="Q218" s="664">
        <v>3410</v>
      </c>
      <c r="R218" s="664">
        <v>3105</v>
      </c>
      <c r="S218" s="664">
        <v>2630</v>
      </c>
      <c r="T218" s="664">
        <v>2240</v>
      </c>
      <c r="U218" s="664">
        <v>2785</v>
      </c>
      <c r="V218" s="664">
        <v>3025</v>
      </c>
      <c r="W218" s="664">
        <v>3130</v>
      </c>
      <c r="X218" s="664"/>
      <c r="Y218" s="664" t="s">
        <v>476</v>
      </c>
      <c r="Z218" s="664"/>
      <c r="AA218" s="664" t="s">
        <v>476</v>
      </c>
      <c r="AB218" s="664"/>
      <c r="AD218" s="1574" t="s">
        <v>476</v>
      </c>
      <c r="AE218" s="1574"/>
    </row>
    <row r="219" spans="1:31" ht="60" hidden="1">
      <c r="A219" s="646" t="str">
        <f t="shared" ref="A219:A226" si="28">"NMC"&amp;B219</f>
        <v>NMCRear Bumper</v>
      </c>
      <c r="B219" s="639" t="s">
        <v>768</v>
      </c>
      <c r="C219" s="640">
        <v>2535</v>
      </c>
      <c r="D219" s="640">
        <v>2600</v>
      </c>
      <c r="E219" s="664">
        <v>2690</v>
      </c>
      <c r="F219" s="664">
        <v>3150</v>
      </c>
      <c r="G219" s="664">
        <v>2550</v>
      </c>
      <c r="H219" s="664">
        <v>2830</v>
      </c>
      <c r="I219" s="664">
        <v>2930</v>
      </c>
      <c r="J219" s="664">
        <v>3175</v>
      </c>
      <c r="K219" s="664">
        <v>3175</v>
      </c>
      <c r="L219" s="664">
        <v>2410</v>
      </c>
      <c r="M219" s="664">
        <v>3575</v>
      </c>
      <c r="N219" s="664">
        <v>3470</v>
      </c>
      <c r="O219" s="664">
        <v>3090</v>
      </c>
      <c r="P219" s="664">
        <v>3370</v>
      </c>
      <c r="Q219" s="664">
        <v>3610</v>
      </c>
      <c r="R219" s="664">
        <v>3130</v>
      </c>
      <c r="S219" s="664">
        <v>2770</v>
      </c>
      <c r="T219" s="664">
        <v>2200</v>
      </c>
      <c r="U219" s="664">
        <v>2310</v>
      </c>
      <c r="V219" s="664">
        <v>3025</v>
      </c>
      <c r="W219" s="664">
        <v>3130</v>
      </c>
      <c r="X219" s="664"/>
      <c r="Y219" s="664" t="s">
        <v>476</v>
      </c>
      <c r="Z219" s="665"/>
      <c r="AA219" s="664" t="s">
        <v>476</v>
      </c>
      <c r="AB219" s="665"/>
      <c r="AD219" s="1574" t="s">
        <v>476</v>
      </c>
      <c r="AE219" s="1575"/>
    </row>
    <row r="220" spans="1:31" ht="30" hidden="1">
      <c r="A220" s="646" t="str">
        <f t="shared" si="28"/>
        <v>NMCBonnet</v>
      </c>
      <c r="B220" s="639" t="s">
        <v>472</v>
      </c>
      <c r="C220" s="640">
        <v>2800</v>
      </c>
      <c r="D220" s="640">
        <v>3120</v>
      </c>
      <c r="E220" s="664">
        <v>2700</v>
      </c>
      <c r="F220" s="664">
        <v>2985</v>
      </c>
      <c r="G220" s="664">
        <v>2885</v>
      </c>
      <c r="H220" s="664">
        <v>2610</v>
      </c>
      <c r="I220" s="664">
        <v>2920</v>
      </c>
      <c r="J220" s="664">
        <v>3165</v>
      </c>
      <c r="K220" s="664">
        <v>3165</v>
      </c>
      <c r="L220" s="664">
        <v>2600</v>
      </c>
      <c r="M220" s="664">
        <v>4280</v>
      </c>
      <c r="N220" s="664">
        <v>3495</v>
      </c>
      <c r="O220" s="664">
        <v>3710</v>
      </c>
      <c r="P220" s="664">
        <v>3550</v>
      </c>
      <c r="Q220" s="664">
        <v>3840</v>
      </c>
      <c r="R220" s="664">
        <v>3265</v>
      </c>
      <c r="S220" s="664">
        <v>3025</v>
      </c>
      <c r="T220" s="664">
        <v>3470</v>
      </c>
      <c r="U220" s="664">
        <v>3015</v>
      </c>
      <c r="V220" s="664">
        <v>3240</v>
      </c>
      <c r="W220" s="664">
        <v>3930</v>
      </c>
      <c r="X220" s="664">
        <v>2600</v>
      </c>
      <c r="Y220" s="664" t="s">
        <v>769</v>
      </c>
      <c r="Z220" s="664">
        <v>3060</v>
      </c>
      <c r="AA220" s="664" t="s">
        <v>769</v>
      </c>
      <c r="AB220" s="664">
        <v>2970</v>
      </c>
      <c r="AD220" s="640" t="s">
        <v>472</v>
      </c>
      <c r="AE220" s="640">
        <v>3560</v>
      </c>
    </row>
    <row r="221" spans="1:31" ht="30" hidden="1">
      <c r="A221" s="646" t="str">
        <f t="shared" si="28"/>
        <v>NMCFender</v>
      </c>
      <c r="B221" s="639" t="s">
        <v>473</v>
      </c>
      <c r="C221" s="640">
        <v>2105</v>
      </c>
      <c r="D221" s="640">
        <v>2070</v>
      </c>
      <c r="E221" s="664">
        <v>2150</v>
      </c>
      <c r="F221" s="664">
        <v>2170</v>
      </c>
      <c r="G221" s="664">
        <v>2110</v>
      </c>
      <c r="H221" s="664">
        <v>2105</v>
      </c>
      <c r="I221" s="664">
        <v>2065</v>
      </c>
      <c r="J221" s="664">
        <v>2200</v>
      </c>
      <c r="K221" s="664">
        <v>2200</v>
      </c>
      <c r="L221" s="664">
        <v>2265</v>
      </c>
      <c r="M221" s="664">
        <v>2290</v>
      </c>
      <c r="N221" s="664">
        <v>2440</v>
      </c>
      <c r="O221" s="664">
        <v>2210</v>
      </c>
      <c r="P221" s="664">
        <v>2040</v>
      </c>
      <c r="Q221" s="664">
        <v>2175</v>
      </c>
      <c r="R221" s="664">
        <v>2110</v>
      </c>
      <c r="S221" s="664">
        <v>2130</v>
      </c>
      <c r="T221" s="664">
        <v>2000</v>
      </c>
      <c r="U221" s="664">
        <v>2025</v>
      </c>
      <c r="V221" s="664">
        <v>2210</v>
      </c>
      <c r="W221" s="664">
        <v>2210</v>
      </c>
      <c r="X221" s="664">
        <v>2055</v>
      </c>
      <c r="Y221" s="664" t="s">
        <v>770</v>
      </c>
      <c r="Z221" s="664">
        <v>2610</v>
      </c>
      <c r="AA221" s="664" t="s">
        <v>770</v>
      </c>
      <c r="AB221" s="664">
        <v>1670</v>
      </c>
      <c r="AD221" s="640" t="s">
        <v>473</v>
      </c>
      <c r="AE221" s="640">
        <v>2000</v>
      </c>
    </row>
    <row r="222" spans="1:31" ht="45" hidden="1">
      <c r="A222" s="646" t="str">
        <f t="shared" si="28"/>
        <v>NMCFront Door</v>
      </c>
      <c r="B222" s="639" t="s">
        <v>770</v>
      </c>
      <c r="C222" s="640">
        <v>2745</v>
      </c>
      <c r="D222" s="640">
        <v>2745</v>
      </c>
      <c r="E222" s="664">
        <v>2745</v>
      </c>
      <c r="F222" s="664">
        <v>2970</v>
      </c>
      <c r="G222" s="664">
        <v>2930</v>
      </c>
      <c r="H222" s="664">
        <v>2850</v>
      </c>
      <c r="I222" s="664">
        <v>2930</v>
      </c>
      <c r="J222" s="664">
        <v>3015</v>
      </c>
      <c r="K222" s="664">
        <v>3015</v>
      </c>
      <c r="L222" s="664">
        <v>2865</v>
      </c>
      <c r="M222" s="664">
        <v>3150</v>
      </c>
      <c r="N222" s="664">
        <v>2855</v>
      </c>
      <c r="O222" s="664">
        <v>2950</v>
      </c>
      <c r="P222" s="664">
        <v>2930</v>
      </c>
      <c r="Q222" s="664">
        <v>2960</v>
      </c>
      <c r="R222" s="664">
        <v>2930</v>
      </c>
      <c r="S222" s="664">
        <v>2880</v>
      </c>
      <c r="T222" s="664">
        <v>2970</v>
      </c>
      <c r="U222" s="664">
        <v>2930</v>
      </c>
      <c r="V222" s="664">
        <v>2705</v>
      </c>
      <c r="W222" s="664">
        <v>2975</v>
      </c>
      <c r="X222" s="664">
        <v>2655</v>
      </c>
      <c r="Y222" s="664" t="s">
        <v>771</v>
      </c>
      <c r="Z222" s="664">
        <v>2695</v>
      </c>
      <c r="AA222" s="664" t="s">
        <v>473</v>
      </c>
      <c r="AB222" s="664">
        <v>2655</v>
      </c>
      <c r="AD222" s="640" t="s">
        <v>770</v>
      </c>
      <c r="AE222" s="640">
        <v>2610</v>
      </c>
    </row>
    <row r="223" spans="1:31" ht="45" hidden="1">
      <c r="A223" s="646" t="str">
        <f t="shared" si="28"/>
        <v>NMCRear Door</v>
      </c>
      <c r="B223" s="639" t="s">
        <v>772</v>
      </c>
      <c r="C223" s="640">
        <v>2745</v>
      </c>
      <c r="D223" s="640">
        <v>2745</v>
      </c>
      <c r="E223" s="664">
        <v>2745</v>
      </c>
      <c r="F223" s="664">
        <v>3185</v>
      </c>
      <c r="G223" s="664">
        <v>2930</v>
      </c>
      <c r="H223" s="664">
        <v>2850</v>
      </c>
      <c r="I223" s="664">
        <v>2930</v>
      </c>
      <c r="J223" s="664">
        <v>3015</v>
      </c>
      <c r="K223" s="664">
        <v>3015</v>
      </c>
      <c r="L223" s="664">
        <v>2865</v>
      </c>
      <c r="M223" s="664">
        <v>3150</v>
      </c>
      <c r="N223" s="664">
        <v>2700</v>
      </c>
      <c r="O223" s="664">
        <v>2950</v>
      </c>
      <c r="P223" s="664">
        <v>2800</v>
      </c>
      <c r="Q223" s="664">
        <v>2960</v>
      </c>
      <c r="R223" s="664">
        <v>2730</v>
      </c>
      <c r="S223" s="664">
        <v>2775</v>
      </c>
      <c r="T223" s="664">
        <v>2790</v>
      </c>
      <c r="U223" s="664">
        <v>2710</v>
      </c>
      <c r="V223" s="664">
        <v>2705</v>
      </c>
      <c r="W223" s="664">
        <v>2975</v>
      </c>
      <c r="X223" s="664">
        <v>2655</v>
      </c>
      <c r="Y223" s="664" t="s">
        <v>773</v>
      </c>
      <c r="Z223" s="664">
        <v>3000</v>
      </c>
      <c r="AA223" s="664"/>
      <c r="AB223" s="664"/>
      <c r="AD223" s="640" t="s">
        <v>774</v>
      </c>
      <c r="AE223" s="640">
        <v>2800</v>
      </c>
    </row>
    <row r="224" spans="1:31" ht="45" hidden="1">
      <c r="A224" s="646" t="str">
        <f t="shared" si="28"/>
        <v>NMCBack Door</v>
      </c>
      <c r="B224" s="639" t="s">
        <v>773</v>
      </c>
      <c r="C224" s="640">
        <v>2735</v>
      </c>
      <c r="D224" s="640">
        <v>2735</v>
      </c>
      <c r="E224" s="664">
        <v>2735</v>
      </c>
      <c r="F224" s="664">
        <v>3215</v>
      </c>
      <c r="G224" s="664">
        <v>2985</v>
      </c>
      <c r="H224" s="664">
        <v>2320</v>
      </c>
      <c r="I224" s="664">
        <v>2985</v>
      </c>
      <c r="J224" s="664">
        <v>2745</v>
      </c>
      <c r="K224" s="664">
        <v>3080</v>
      </c>
      <c r="L224" s="664">
        <v>2895</v>
      </c>
      <c r="M224" s="664">
        <v>3185</v>
      </c>
      <c r="N224" s="664">
        <v>2855</v>
      </c>
      <c r="O224" s="664">
        <v>2850</v>
      </c>
      <c r="P224" s="664">
        <v>2970</v>
      </c>
      <c r="Q224" s="664">
        <v>3200</v>
      </c>
      <c r="R224" s="664">
        <v>2655</v>
      </c>
      <c r="S224" s="664">
        <v>2830</v>
      </c>
      <c r="T224" s="664">
        <v>3175</v>
      </c>
      <c r="U224" s="664">
        <v>3175</v>
      </c>
      <c r="V224" s="664">
        <v>2930</v>
      </c>
      <c r="W224" s="664">
        <v>3010</v>
      </c>
      <c r="X224" s="664">
        <v>2585</v>
      </c>
      <c r="Y224" s="641" t="s">
        <v>474</v>
      </c>
      <c r="Z224" s="664">
        <v>5650</v>
      </c>
      <c r="AA224" s="643"/>
      <c r="AB224" s="643"/>
      <c r="AD224" s="643"/>
      <c r="AE224" s="643"/>
    </row>
    <row r="225" spans="1:31" ht="30" hidden="1">
      <c r="A225" s="646" t="str">
        <f t="shared" si="28"/>
        <v>NMCRoof</v>
      </c>
      <c r="B225" s="647" t="s">
        <v>474</v>
      </c>
      <c r="C225" s="640">
        <v>4150</v>
      </c>
      <c r="D225" s="640">
        <v>4150</v>
      </c>
      <c r="E225" s="664">
        <v>4265</v>
      </c>
      <c r="F225" s="664">
        <v>5990</v>
      </c>
      <c r="G225" s="664">
        <v>4840</v>
      </c>
      <c r="H225" s="664">
        <v>4350</v>
      </c>
      <c r="I225" s="664">
        <v>4575</v>
      </c>
      <c r="J225" s="664">
        <v>4265</v>
      </c>
      <c r="K225" s="664">
        <v>4265</v>
      </c>
      <c r="L225" s="664">
        <v>4560</v>
      </c>
      <c r="M225" s="664">
        <v>5025</v>
      </c>
      <c r="N225" s="664">
        <v>4175</v>
      </c>
      <c r="O225" s="664">
        <v>4230</v>
      </c>
      <c r="P225" s="664">
        <v>4185</v>
      </c>
      <c r="Q225" s="664">
        <v>5030</v>
      </c>
      <c r="R225" s="664">
        <v>4695</v>
      </c>
      <c r="S225" s="664">
        <v>4680</v>
      </c>
      <c r="T225" s="664">
        <v>4330</v>
      </c>
      <c r="U225" s="664">
        <v>4465</v>
      </c>
      <c r="V225" s="664">
        <v>4135</v>
      </c>
      <c r="W225" s="664">
        <v>3935</v>
      </c>
      <c r="X225" s="664">
        <v>3970</v>
      </c>
      <c r="Y225" s="664" t="s">
        <v>475</v>
      </c>
      <c r="Z225" s="664">
        <v>20865</v>
      </c>
      <c r="AA225" s="643"/>
      <c r="AB225" s="644"/>
      <c r="AD225" s="644"/>
      <c r="AE225" s="644"/>
    </row>
    <row r="226" spans="1:31" ht="60" hidden="1">
      <c r="A226" s="646" t="str">
        <f t="shared" si="28"/>
        <v>NMCFull Car Painting</v>
      </c>
      <c r="B226" s="639" t="s">
        <v>475</v>
      </c>
      <c r="C226" s="640">
        <v>26550</v>
      </c>
      <c r="D226" s="640">
        <v>27015</v>
      </c>
      <c r="E226" s="664">
        <v>27215</v>
      </c>
      <c r="F226" s="664">
        <v>30600</v>
      </c>
      <c r="G226" s="664">
        <v>27945</v>
      </c>
      <c r="H226" s="664">
        <v>27320</v>
      </c>
      <c r="I226" s="664">
        <v>28560</v>
      </c>
      <c r="J226" s="664">
        <v>29130</v>
      </c>
      <c r="K226" s="664">
        <v>29385</v>
      </c>
      <c r="L226" s="664">
        <v>28000</v>
      </c>
      <c r="M226" s="664">
        <v>32265</v>
      </c>
      <c r="N226" s="664">
        <v>28785</v>
      </c>
      <c r="O226" s="664">
        <v>28555</v>
      </c>
      <c r="P226" s="664">
        <v>28360</v>
      </c>
      <c r="Q226" s="664">
        <v>30535</v>
      </c>
      <c r="R226" s="664">
        <v>28535</v>
      </c>
      <c r="S226" s="664">
        <v>27810</v>
      </c>
      <c r="T226" s="664">
        <v>27265</v>
      </c>
      <c r="U226" s="664">
        <v>27415</v>
      </c>
      <c r="V226" s="664">
        <v>27425</v>
      </c>
      <c r="W226" s="664">
        <v>30375</v>
      </c>
      <c r="X226" s="664">
        <v>21800</v>
      </c>
      <c r="Y226" s="664"/>
      <c r="Z226" s="664"/>
      <c r="AA226" s="643"/>
      <c r="AB226" s="644"/>
      <c r="AD226" s="644"/>
      <c r="AE226" s="644"/>
    </row>
    <row r="227" spans="1:31" hidden="1"/>
    <row r="228" spans="1:31" ht="0.75" hidden="1" customHeight="1"/>
    <row r="229" spans="1:31" ht="30" hidden="1">
      <c r="A229" s="646" t="s">
        <v>789</v>
      </c>
      <c r="B229" s="642" t="s">
        <v>752</v>
      </c>
      <c r="C229" s="642"/>
      <c r="D229" s="642"/>
      <c r="E229" s="642"/>
      <c r="F229" s="642"/>
      <c r="G229" s="642"/>
      <c r="H229" s="642"/>
      <c r="I229" s="642"/>
      <c r="J229" s="642"/>
      <c r="K229" s="642"/>
      <c r="L229" s="642"/>
      <c r="M229" s="642"/>
      <c r="N229" s="642"/>
      <c r="O229" s="642"/>
      <c r="P229" s="642"/>
      <c r="Q229" s="642"/>
      <c r="R229" s="642"/>
      <c r="S229" s="642"/>
      <c r="T229" s="642"/>
      <c r="U229" s="642"/>
      <c r="V229" s="642"/>
      <c r="W229" s="642"/>
      <c r="X229" s="642"/>
      <c r="Y229" s="642"/>
      <c r="Z229" s="642"/>
      <c r="AA229" s="642"/>
      <c r="AB229" s="642"/>
      <c r="AC229" s="642"/>
      <c r="AD229" s="642"/>
      <c r="AE229" s="642"/>
    </row>
    <row r="230" spans="1:31" ht="25.5" hidden="1">
      <c r="A230" s="646"/>
      <c r="B230" s="637" t="s">
        <v>499</v>
      </c>
      <c r="C230" s="637" t="s">
        <v>753</v>
      </c>
      <c r="D230" s="637" t="s">
        <v>754</v>
      </c>
      <c r="E230" s="667" t="s">
        <v>755</v>
      </c>
      <c r="F230" s="667" t="s">
        <v>461</v>
      </c>
      <c r="G230" s="638" t="s">
        <v>756</v>
      </c>
      <c r="H230" s="667" t="s">
        <v>757</v>
      </c>
      <c r="I230" s="667" t="s">
        <v>462</v>
      </c>
      <c r="J230" s="667" t="s">
        <v>463</v>
      </c>
      <c r="K230" s="667" t="s">
        <v>758</v>
      </c>
      <c r="L230" s="652" t="s">
        <v>793</v>
      </c>
      <c r="M230" s="667" t="s">
        <v>759</v>
      </c>
      <c r="N230" s="667" t="s">
        <v>465</v>
      </c>
      <c r="O230" s="667" t="s">
        <v>466</v>
      </c>
      <c r="P230" s="667" t="s">
        <v>469</v>
      </c>
      <c r="Q230" s="667" t="s">
        <v>470</v>
      </c>
      <c r="R230" s="667" t="s">
        <v>760</v>
      </c>
      <c r="S230" s="667" t="s">
        <v>468</v>
      </c>
      <c r="T230" s="667" t="s">
        <v>761</v>
      </c>
      <c r="U230" s="667" t="s">
        <v>762</v>
      </c>
      <c r="V230" s="667" t="s">
        <v>464</v>
      </c>
      <c r="W230" s="667" t="s">
        <v>763</v>
      </c>
      <c r="X230" s="667" t="s">
        <v>764</v>
      </c>
      <c r="Y230" s="667" t="s">
        <v>467</v>
      </c>
      <c r="Z230" s="667"/>
      <c r="AA230" s="667" t="s">
        <v>765</v>
      </c>
      <c r="AB230" s="667"/>
      <c r="AC230" s="667" t="s">
        <v>766</v>
      </c>
      <c r="AD230" s="667"/>
    </row>
    <row r="231" spans="1:31" ht="60" hidden="1">
      <c r="A231" s="646" t="str">
        <f>"PWA1"&amp;B231</f>
        <v>PWA1Front Bumper</v>
      </c>
      <c r="B231" s="639" t="s">
        <v>767</v>
      </c>
      <c r="C231" s="640">
        <v>4190</v>
      </c>
      <c r="D231" s="640">
        <v>4460</v>
      </c>
      <c r="E231" s="664">
        <v>4975</v>
      </c>
      <c r="F231" s="664">
        <v>4765</v>
      </c>
      <c r="G231" s="664">
        <v>4295</v>
      </c>
      <c r="H231" s="664">
        <v>5115</v>
      </c>
      <c r="I231" s="664">
        <v>5240</v>
      </c>
      <c r="J231" s="664">
        <v>5185</v>
      </c>
      <c r="K231" s="664">
        <v>5185</v>
      </c>
      <c r="L231" s="664">
        <v>4730</v>
      </c>
      <c r="M231" s="664">
        <v>5840</v>
      </c>
      <c r="N231" s="664">
        <v>4765</v>
      </c>
      <c r="O231" s="664">
        <v>5215</v>
      </c>
      <c r="P231" s="664">
        <v>4940</v>
      </c>
      <c r="Q231" s="664">
        <v>5560</v>
      </c>
      <c r="R231" s="664">
        <v>5075</v>
      </c>
      <c r="S231" s="664">
        <v>4295</v>
      </c>
      <c r="T231" s="664">
        <v>3650</v>
      </c>
      <c r="U231" s="664">
        <v>4540</v>
      </c>
      <c r="V231" s="664">
        <v>4940</v>
      </c>
      <c r="W231" s="664">
        <v>5105</v>
      </c>
      <c r="X231" s="664"/>
      <c r="Y231" s="664" t="s">
        <v>476</v>
      </c>
      <c r="Z231" s="664"/>
      <c r="AA231" s="664" t="s">
        <v>476</v>
      </c>
      <c r="AB231" s="664"/>
      <c r="AC231" s="664" t="s">
        <v>476</v>
      </c>
      <c r="AD231" s="664"/>
    </row>
    <row r="232" spans="1:31" ht="60" hidden="1">
      <c r="A232" s="646" t="str">
        <f t="shared" ref="A232:A239" si="29">"PWA1"&amp;B232</f>
        <v>PWA1Rear Bumper</v>
      </c>
      <c r="B232" s="639" t="s">
        <v>768</v>
      </c>
      <c r="C232" s="640">
        <v>4190</v>
      </c>
      <c r="D232" s="640">
        <v>4240</v>
      </c>
      <c r="E232" s="664">
        <v>4385</v>
      </c>
      <c r="F232" s="664">
        <v>5140</v>
      </c>
      <c r="G232" s="664">
        <v>4165</v>
      </c>
      <c r="H232" s="664">
        <v>4620</v>
      </c>
      <c r="I232" s="664">
        <v>4775</v>
      </c>
      <c r="J232" s="664">
        <v>5185</v>
      </c>
      <c r="K232" s="664">
        <v>5185</v>
      </c>
      <c r="L232" s="664">
        <v>4045</v>
      </c>
      <c r="M232" s="664">
        <v>5840</v>
      </c>
      <c r="N232" s="664">
        <v>5670</v>
      </c>
      <c r="O232" s="664">
        <v>5215</v>
      </c>
      <c r="P232" s="664">
        <v>5495</v>
      </c>
      <c r="Q232" s="664">
        <v>5895</v>
      </c>
      <c r="R232" s="664">
        <v>5105</v>
      </c>
      <c r="S232" s="664">
        <v>4520</v>
      </c>
      <c r="T232" s="664">
        <v>3595</v>
      </c>
      <c r="U232" s="664">
        <v>3775</v>
      </c>
      <c r="V232" s="664">
        <v>4940</v>
      </c>
      <c r="W232" s="664">
        <v>5105</v>
      </c>
      <c r="X232" s="664"/>
      <c r="Y232" s="664" t="s">
        <v>476</v>
      </c>
      <c r="Z232" s="665"/>
      <c r="AA232" s="664" t="s">
        <v>476</v>
      </c>
      <c r="AB232" s="665"/>
      <c r="AC232" s="664" t="s">
        <v>476</v>
      </c>
      <c r="AD232" s="665"/>
    </row>
    <row r="233" spans="1:31" ht="45" hidden="1">
      <c r="A233" s="646" t="str">
        <f t="shared" si="29"/>
        <v>PWA1Bonnet</v>
      </c>
      <c r="B233" s="639" t="s">
        <v>472</v>
      </c>
      <c r="C233" s="640">
        <v>4575</v>
      </c>
      <c r="D233" s="640">
        <v>5095</v>
      </c>
      <c r="E233" s="664">
        <v>4555</v>
      </c>
      <c r="F233" s="664">
        <v>4875</v>
      </c>
      <c r="G233" s="664">
        <v>4485</v>
      </c>
      <c r="H233" s="664">
        <v>4260</v>
      </c>
      <c r="I233" s="664">
        <v>4760</v>
      </c>
      <c r="J233" s="664">
        <v>5085</v>
      </c>
      <c r="K233" s="664">
        <v>5085</v>
      </c>
      <c r="L233" s="664">
        <v>4240</v>
      </c>
      <c r="M233" s="664">
        <v>6980</v>
      </c>
      <c r="N233" s="664">
        <v>5380</v>
      </c>
      <c r="O233" s="664">
        <v>6060</v>
      </c>
      <c r="P233" s="664">
        <v>5795</v>
      </c>
      <c r="Q233" s="664">
        <v>6270</v>
      </c>
      <c r="R233" s="664">
        <v>5330</v>
      </c>
      <c r="S233" s="664">
        <v>4940</v>
      </c>
      <c r="T233" s="664">
        <v>5670</v>
      </c>
      <c r="U233" s="664">
        <v>4930</v>
      </c>
      <c r="V233" s="664">
        <v>5495</v>
      </c>
      <c r="W233" s="664">
        <v>6415</v>
      </c>
      <c r="X233" s="664">
        <v>4295</v>
      </c>
      <c r="Y233" s="664" t="s">
        <v>769</v>
      </c>
      <c r="Z233" s="664">
        <v>5160</v>
      </c>
      <c r="AA233" s="664" t="s">
        <v>769</v>
      </c>
      <c r="AB233" s="664">
        <v>4850</v>
      </c>
      <c r="AC233" s="664" t="s">
        <v>472</v>
      </c>
      <c r="AD233" s="664">
        <v>5815</v>
      </c>
    </row>
    <row r="234" spans="1:31" ht="30" hidden="1">
      <c r="A234" s="646" t="str">
        <f t="shared" si="29"/>
        <v>PWA1Fender</v>
      </c>
      <c r="B234" s="639" t="s">
        <v>473</v>
      </c>
      <c r="C234" s="640">
        <v>3430</v>
      </c>
      <c r="D234" s="640">
        <v>3385</v>
      </c>
      <c r="E234" s="664">
        <v>3520</v>
      </c>
      <c r="F234" s="664">
        <v>3540</v>
      </c>
      <c r="G234" s="664">
        <v>3440</v>
      </c>
      <c r="H234" s="664">
        <v>3430</v>
      </c>
      <c r="I234" s="664">
        <v>3375</v>
      </c>
      <c r="J234" s="664">
        <v>3595</v>
      </c>
      <c r="K234" s="664">
        <v>3595</v>
      </c>
      <c r="L234" s="664">
        <v>3695</v>
      </c>
      <c r="M234" s="664">
        <v>3730</v>
      </c>
      <c r="N234" s="664">
        <v>3985</v>
      </c>
      <c r="O234" s="664">
        <v>3670</v>
      </c>
      <c r="P234" s="664">
        <v>3415</v>
      </c>
      <c r="Q234" s="664">
        <v>3550</v>
      </c>
      <c r="R234" s="664">
        <v>3440</v>
      </c>
      <c r="S234" s="664">
        <v>3475</v>
      </c>
      <c r="T234" s="664">
        <v>3265</v>
      </c>
      <c r="U234" s="664">
        <v>3310</v>
      </c>
      <c r="V234" s="664">
        <v>3610</v>
      </c>
      <c r="W234" s="664">
        <v>3610</v>
      </c>
      <c r="X234" s="664">
        <v>3350</v>
      </c>
      <c r="Y234" s="664" t="s">
        <v>770</v>
      </c>
      <c r="Z234" s="664">
        <v>4250</v>
      </c>
      <c r="AA234" s="664" t="s">
        <v>770</v>
      </c>
      <c r="AB234" s="664">
        <v>2730</v>
      </c>
      <c r="AC234" s="664" t="s">
        <v>473</v>
      </c>
      <c r="AD234" s="664">
        <v>3265</v>
      </c>
    </row>
    <row r="235" spans="1:31" ht="45" hidden="1">
      <c r="A235" s="646" t="str">
        <f t="shared" si="29"/>
        <v>PWA1Front Door</v>
      </c>
      <c r="B235" s="639" t="s">
        <v>770</v>
      </c>
      <c r="C235" s="640">
        <v>4485</v>
      </c>
      <c r="D235" s="640">
        <v>4485</v>
      </c>
      <c r="E235" s="664">
        <v>4485</v>
      </c>
      <c r="F235" s="664">
        <v>4905</v>
      </c>
      <c r="G235" s="664">
        <v>4785</v>
      </c>
      <c r="H235" s="664">
        <v>4650</v>
      </c>
      <c r="I235" s="664">
        <v>4785</v>
      </c>
      <c r="J235" s="664">
        <v>4915</v>
      </c>
      <c r="K235" s="664">
        <v>4915</v>
      </c>
      <c r="L235" s="664">
        <v>4675</v>
      </c>
      <c r="M235" s="664">
        <v>5140</v>
      </c>
      <c r="N235" s="664">
        <v>4660</v>
      </c>
      <c r="O235" s="664">
        <v>4815</v>
      </c>
      <c r="P235" s="664">
        <v>4775</v>
      </c>
      <c r="Q235" s="664">
        <v>4830</v>
      </c>
      <c r="R235" s="664">
        <v>4785</v>
      </c>
      <c r="S235" s="664">
        <v>4705</v>
      </c>
      <c r="T235" s="664">
        <v>4840</v>
      </c>
      <c r="U235" s="664">
        <v>4785</v>
      </c>
      <c r="V235" s="664">
        <v>4445</v>
      </c>
      <c r="W235" s="664">
        <v>4860</v>
      </c>
      <c r="X235" s="664">
        <v>4330</v>
      </c>
      <c r="Y235" s="664" t="s">
        <v>771</v>
      </c>
      <c r="Z235" s="664">
        <v>4395</v>
      </c>
      <c r="AA235" s="664" t="s">
        <v>473</v>
      </c>
      <c r="AB235" s="664">
        <v>4330</v>
      </c>
      <c r="AC235" s="664" t="s">
        <v>770</v>
      </c>
      <c r="AD235" s="664">
        <v>4260</v>
      </c>
    </row>
    <row r="236" spans="1:31" ht="45" hidden="1">
      <c r="A236" s="646" t="str">
        <f t="shared" si="29"/>
        <v>PWA1Rear Door</v>
      </c>
      <c r="B236" s="639" t="s">
        <v>772</v>
      </c>
      <c r="C236" s="640">
        <v>4485</v>
      </c>
      <c r="D236" s="640">
        <v>4485</v>
      </c>
      <c r="E236" s="664">
        <v>4485</v>
      </c>
      <c r="F236" s="664">
        <v>5195</v>
      </c>
      <c r="G236" s="664">
        <v>4785</v>
      </c>
      <c r="H236" s="664">
        <v>4650</v>
      </c>
      <c r="I236" s="664">
        <v>4785</v>
      </c>
      <c r="J236" s="664">
        <v>4915</v>
      </c>
      <c r="K236" s="664">
        <v>4915</v>
      </c>
      <c r="L236" s="664">
        <v>4675</v>
      </c>
      <c r="M236" s="664">
        <v>5140</v>
      </c>
      <c r="N236" s="664">
        <v>4545</v>
      </c>
      <c r="O236" s="664">
        <v>4815</v>
      </c>
      <c r="P236" s="664">
        <v>4660</v>
      </c>
      <c r="Q236" s="664">
        <v>4830</v>
      </c>
      <c r="R236" s="664">
        <v>4450</v>
      </c>
      <c r="S236" s="664">
        <v>4585</v>
      </c>
      <c r="T236" s="664">
        <v>4560</v>
      </c>
      <c r="U236" s="664">
        <v>4430</v>
      </c>
      <c r="V236" s="664">
        <v>4445</v>
      </c>
      <c r="W236" s="664">
        <v>4860</v>
      </c>
      <c r="X236" s="664">
        <v>4330</v>
      </c>
      <c r="Y236" s="664" t="s">
        <v>773</v>
      </c>
      <c r="Z236" s="664">
        <v>4895</v>
      </c>
      <c r="AA236" s="664"/>
      <c r="AB236" s="664"/>
      <c r="AC236" s="664" t="s">
        <v>774</v>
      </c>
      <c r="AD236" s="664">
        <v>4575</v>
      </c>
    </row>
    <row r="237" spans="1:31" ht="45" hidden="1">
      <c r="A237" s="646" t="str">
        <f t="shared" si="29"/>
        <v>PWA1Back Door</v>
      </c>
      <c r="B237" s="639" t="s">
        <v>773</v>
      </c>
      <c r="C237" s="640">
        <v>4460</v>
      </c>
      <c r="D237" s="640">
        <v>4460</v>
      </c>
      <c r="E237" s="664">
        <v>4460</v>
      </c>
      <c r="F237" s="664">
        <v>5250</v>
      </c>
      <c r="G237" s="664">
        <v>4875</v>
      </c>
      <c r="H237" s="664">
        <v>3785</v>
      </c>
      <c r="I237" s="664">
        <v>4875</v>
      </c>
      <c r="J237" s="664">
        <v>4485</v>
      </c>
      <c r="K237" s="664">
        <v>5030</v>
      </c>
      <c r="L237" s="664">
        <v>4730</v>
      </c>
      <c r="M237" s="664">
        <v>5195</v>
      </c>
      <c r="N237" s="664">
        <v>4660</v>
      </c>
      <c r="O237" s="664">
        <v>4650</v>
      </c>
      <c r="P237" s="664">
        <v>4840</v>
      </c>
      <c r="Q237" s="664">
        <v>5215</v>
      </c>
      <c r="R237" s="664">
        <v>4330</v>
      </c>
      <c r="S237" s="664">
        <v>4660</v>
      </c>
      <c r="T237" s="664">
        <v>5185</v>
      </c>
      <c r="U237" s="664">
        <v>5185</v>
      </c>
      <c r="V237" s="664">
        <v>4775</v>
      </c>
      <c r="W237" s="664">
        <v>4905</v>
      </c>
      <c r="X237" s="664">
        <v>4220</v>
      </c>
      <c r="Y237" s="641" t="s">
        <v>474</v>
      </c>
      <c r="Z237" s="664">
        <v>9215</v>
      </c>
      <c r="AA237" s="666"/>
      <c r="AB237" s="666"/>
      <c r="AC237" s="666"/>
      <c r="AD237" s="666"/>
    </row>
    <row r="238" spans="1:31" ht="30" hidden="1">
      <c r="A238" s="646" t="str">
        <f t="shared" si="29"/>
        <v>PWA1Roof</v>
      </c>
      <c r="B238" s="647" t="s">
        <v>474</v>
      </c>
      <c r="C238" s="640">
        <v>6770</v>
      </c>
      <c r="D238" s="640">
        <v>6770</v>
      </c>
      <c r="E238" s="664">
        <v>6960</v>
      </c>
      <c r="F238" s="664">
        <v>9780</v>
      </c>
      <c r="G238" s="664">
        <v>7905</v>
      </c>
      <c r="H238" s="664">
        <v>7105</v>
      </c>
      <c r="I238" s="664">
        <v>7470</v>
      </c>
      <c r="J238" s="664">
        <v>6960</v>
      </c>
      <c r="K238" s="664">
        <v>6960</v>
      </c>
      <c r="L238" s="664">
        <v>7450</v>
      </c>
      <c r="M238" s="664">
        <v>8205</v>
      </c>
      <c r="N238" s="664">
        <v>6815</v>
      </c>
      <c r="O238" s="664">
        <v>6905</v>
      </c>
      <c r="P238" s="664">
        <v>6825</v>
      </c>
      <c r="Q238" s="664">
        <v>8215</v>
      </c>
      <c r="R238" s="664">
        <v>7660</v>
      </c>
      <c r="S238" s="664">
        <v>7635</v>
      </c>
      <c r="T238" s="664">
        <v>7060</v>
      </c>
      <c r="U238" s="664">
        <v>7280</v>
      </c>
      <c r="V238" s="664">
        <v>6750</v>
      </c>
      <c r="W238" s="664">
        <v>6425</v>
      </c>
      <c r="X238" s="664">
        <v>6470</v>
      </c>
      <c r="Y238" s="664" t="s">
        <v>475</v>
      </c>
      <c r="Z238" s="664">
        <v>34055</v>
      </c>
      <c r="AA238" s="666"/>
      <c r="AB238" s="665"/>
      <c r="AC238" s="665"/>
      <c r="AD238" s="665"/>
    </row>
    <row r="239" spans="1:31" ht="28.5" hidden="1" customHeight="1">
      <c r="A239" s="646" t="str">
        <f t="shared" si="29"/>
        <v>PWA1Full Car Painting</v>
      </c>
      <c r="B239" s="639" t="s">
        <v>475</v>
      </c>
      <c r="C239" s="640">
        <v>43345</v>
      </c>
      <c r="D239" s="640">
        <v>44100</v>
      </c>
      <c r="E239" s="664">
        <v>44420</v>
      </c>
      <c r="F239" s="664">
        <v>49950</v>
      </c>
      <c r="G239" s="664">
        <v>45610</v>
      </c>
      <c r="H239" s="664">
        <v>44600</v>
      </c>
      <c r="I239" s="664">
        <v>46620</v>
      </c>
      <c r="J239" s="664">
        <v>47540</v>
      </c>
      <c r="K239" s="664">
        <v>47965</v>
      </c>
      <c r="L239" s="664">
        <v>45710</v>
      </c>
      <c r="M239" s="664">
        <v>52670</v>
      </c>
      <c r="N239" s="664">
        <v>46985</v>
      </c>
      <c r="O239" s="664">
        <v>47005</v>
      </c>
      <c r="P239" s="664">
        <v>46620</v>
      </c>
      <c r="Q239" s="664">
        <v>49850</v>
      </c>
      <c r="R239" s="664">
        <v>46585</v>
      </c>
      <c r="S239" s="664">
        <v>45390</v>
      </c>
      <c r="T239" s="664">
        <v>44500</v>
      </c>
      <c r="U239" s="664">
        <v>44755</v>
      </c>
      <c r="V239" s="664">
        <v>44765</v>
      </c>
      <c r="W239" s="664">
        <v>49585</v>
      </c>
      <c r="X239" s="664">
        <v>35585</v>
      </c>
      <c r="Y239" s="664"/>
      <c r="Z239" s="664"/>
      <c r="AA239" s="666"/>
      <c r="AB239" s="665"/>
      <c r="AC239" s="665"/>
      <c r="AD239" s="665"/>
    </row>
    <row r="240" spans="1:31" hidden="1"/>
    <row r="241" spans="1:31" hidden="1"/>
    <row r="242" spans="1:31" ht="30" hidden="1">
      <c r="A242" s="646" t="s">
        <v>790</v>
      </c>
      <c r="B242" s="642" t="s">
        <v>775</v>
      </c>
      <c r="C242" s="642"/>
      <c r="D242" s="642"/>
      <c r="E242" s="642"/>
      <c r="F242" s="642"/>
      <c r="G242" s="642"/>
      <c r="H242" s="642"/>
      <c r="I242" s="642"/>
      <c r="J242" s="642"/>
      <c r="K242" s="642"/>
      <c r="L242" s="642"/>
      <c r="M242" s="642"/>
      <c r="N242" s="642"/>
      <c r="O242" s="642"/>
      <c r="P242" s="642"/>
      <c r="Q242" s="642"/>
      <c r="R242" s="642"/>
      <c r="S242" s="642"/>
      <c r="T242" s="642"/>
      <c r="U242" s="642"/>
      <c r="V242" s="642"/>
      <c r="W242" s="642"/>
      <c r="X242" s="642"/>
      <c r="Y242" s="642"/>
      <c r="Z242" s="642"/>
      <c r="AA242" s="642"/>
      <c r="AB242" s="642"/>
      <c r="AC242" s="642"/>
      <c r="AD242" s="642"/>
      <c r="AE242" s="642"/>
    </row>
    <row r="243" spans="1:31" ht="25.5" hidden="1">
      <c r="A243" s="646"/>
      <c r="B243" s="637" t="s">
        <v>499</v>
      </c>
      <c r="C243" s="637" t="s">
        <v>753</v>
      </c>
      <c r="D243" s="637" t="s">
        <v>754</v>
      </c>
      <c r="E243" s="667" t="s">
        <v>755</v>
      </c>
      <c r="F243" s="667" t="s">
        <v>461</v>
      </c>
      <c r="G243" s="638" t="s">
        <v>756</v>
      </c>
      <c r="H243" s="667" t="s">
        <v>757</v>
      </c>
      <c r="I243" s="667" t="s">
        <v>462</v>
      </c>
      <c r="J243" s="667" t="s">
        <v>463</v>
      </c>
      <c r="K243" s="667" t="s">
        <v>758</v>
      </c>
      <c r="L243" s="652" t="s">
        <v>793</v>
      </c>
      <c r="M243" s="667" t="s">
        <v>759</v>
      </c>
      <c r="N243" s="667" t="s">
        <v>465</v>
      </c>
      <c r="O243" s="667" t="s">
        <v>466</v>
      </c>
      <c r="P243" s="667" t="s">
        <v>469</v>
      </c>
      <c r="Q243" s="667" t="s">
        <v>470</v>
      </c>
      <c r="R243" s="667" t="s">
        <v>760</v>
      </c>
      <c r="S243" s="667" t="s">
        <v>468</v>
      </c>
      <c r="T243" s="667" t="s">
        <v>761</v>
      </c>
      <c r="U243" s="667" t="s">
        <v>762</v>
      </c>
      <c r="V243" s="667" t="s">
        <v>464</v>
      </c>
      <c r="W243" s="667" t="s">
        <v>763</v>
      </c>
      <c r="X243" s="667" t="s">
        <v>764</v>
      </c>
      <c r="Y243" s="667" t="s">
        <v>467</v>
      </c>
      <c r="Z243" s="667"/>
      <c r="AA243" s="667" t="s">
        <v>765</v>
      </c>
      <c r="AB243" s="667"/>
      <c r="AC243" s="667" t="s">
        <v>766</v>
      </c>
      <c r="AD243" s="667"/>
    </row>
    <row r="244" spans="1:31" ht="60" hidden="1">
      <c r="A244" s="646" t="str">
        <f>"PWA2"&amp;B244</f>
        <v>PWA2Front Bumper</v>
      </c>
      <c r="B244" s="639" t="s">
        <v>767</v>
      </c>
      <c r="C244" s="640">
        <v>4105</v>
      </c>
      <c r="D244" s="640">
        <v>4375</v>
      </c>
      <c r="E244" s="664">
        <v>4875</v>
      </c>
      <c r="F244" s="664">
        <v>4675</v>
      </c>
      <c r="G244" s="664">
        <v>4205</v>
      </c>
      <c r="H244" s="664">
        <v>5015</v>
      </c>
      <c r="I244" s="664">
        <v>5140</v>
      </c>
      <c r="J244" s="664">
        <v>5085</v>
      </c>
      <c r="K244" s="664">
        <v>5085</v>
      </c>
      <c r="L244" s="664">
        <v>4630</v>
      </c>
      <c r="M244" s="664">
        <v>5715</v>
      </c>
      <c r="N244" s="664">
        <v>4675</v>
      </c>
      <c r="O244" s="664">
        <v>5115</v>
      </c>
      <c r="P244" s="664">
        <v>4840</v>
      </c>
      <c r="Q244" s="664">
        <v>5450</v>
      </c>
      <c r="R244" s="664">
        <v>4975</v>
      </c>
      <c r="S244" s="664">
        <v>4205</v>
      </c>
      <c r="T244" s="664">
        <v>3575</v>
      </c>
      <c r="U244" s="664">
        <v>4450</v>
      </c>
      <c r="V244" s="664">
        <v>4840</v>
      </c>
      <c r="W244" s="664">
        <v>5005</v>
      </c>
      <c r="X244" s="664"/>
      <c r="Y244" s="664" t="s">
        <v>476</v>
      </c>
      <c r="Z244" s="664"/>
      <c r="AA244" s="664" t="s">
        <v>476</v>
      </c>
      <c r="AB244" s="664"/>
      <c r="AC244" s="664" t="s">
        <v>476</v>
      </c>
      <c r="AD244" s="664"/>
    </row>
    <row r="245" spans="1:31" ht="60" hidden="1">
      <c r="A245" s="646" t="str">
        <f t="shared" ref="A245:A252" si="30">"PWA2"&amp;B245</f>
        <v>PWA2Rear Bumper</v>
      </c>
      <c r="B245" s="639" t="s">
        <v>768</v>
      </c>
      <c r="C245" s="640">
        <v>4105</v>
      </c>
      <c r="D245" s="640">
        <v>4150</v>
      </c>
      <c r="E245" s="664">
        <v>4295</v>
      </c>
      <c r="F245" s="664">
        <v>5040</v>
      </c>
      <c r="G245" s="664">
        <v>4085</v>
      </c>
      <c r="H245" s="664">
        <v>4530</v>
      </c>
      <c r="I245" s="664">
        <v>4675</v>
      </c>
      <c r="J245" s="664">
        <v>5085</v>
      </c>
      <c r="K245" s="664">
        <v>5085</v>
      </c>
      <c r="L245" s="664">
        <v>3965</v>
      </c>
      <c r="M245" s="664">
        <v>5715</v>
      </c>
      <c r="N245" s="664">
        <v>5560</v>
      </c>
      <c r="O245" s="664">
        <v>5115</v>
      </c>
      <c r="P245" s="664">
        <v>5385</v>
      </c>
      <c r="Q245" s="664">
        <v>5770</v>
      </c>
      <c r="R245" s="664">
        <v>5005</v>
      </c>
      <c r="S245" s="664">
        <v>4430</v>
      </c>
      <c r="T245" s="664">
        <v>3530</v>
      </c>
      <c r="U245" s="664">
        <v>3695</v>
      </c>
      <c r="V245" s="664">
        <v>4840</v>
      </c>
      <c r="W245" s="664">
        <v>5005</v>
      </c>
      <c r="X245" s="664"/>
      <c r="Y245" s="664" t="s">
        <v>476</v>
      </c>
      <c r="Z245" s="665"/>
      <c r="AA245" s="664" t="s">
        <v>476</v>
      </c>
      <c r="AB245" s="665"/>
      <c r="AC245" s="664" t="s">
        <v>476</v>
      </c>
      <c r="AD245" s="665"/>
    </row>
    <row r="246" spans="1:31" ht="45" hidden="1">
      <c r="A246" s="646" t="str">
        <f t="shared" si="30"/>
        <v>PWA2Bonnet</v>
      </c>
      <c r="B246" s="639" t="s">
        <v>472</v>
      </c>
      <c r="C246" s="640">
        <v>4485</v>
      </c>
      <c r="D246" s="640">
        <v>4995</v>
      </c>
      <c r="E246" s="664">
        <v>4470</v>
      </c>
      <c r="F246" s="664">
        <v>4775</v>
      </c>
      <c r="G246" s="664">
        <v>4400</v>
      </c>
      <c r="H246" s="664">
        <v>4175</v>
      </c>
      <c r="I246" s="664">
        <v>4660</v>
      </c>
      <c r="J246" s="664">
        <v>4985</v>
      </c>
      <c r="K246" s="664">
        <v>4985</v>
      </c>
      <c r="L246" s="664">
        <v>4150</v>
      </c>
      <c r="M246" s="664">
        <v>6840</v>
      </c>
      <c r="N246" s="664">
        <v>5265</v>
      </c>
      <c r="O246" s="664">
        <v>5940</v>
      </c>
      <c r="P246" s="664">
        <v>5685</v>
      </c>
      <c r="Q246" s="664">
        <v>6155</v>
      </c>
      <c r="R246" s="664">
        <v>5215</v>
      </c>
      <c r="S246" s="664">
        <v>4840</v>
      </c>
      <c r="T246" s="664">
        <v>5560</v>
      </c>
      <c r="U246" s="664">
        <v>4830</v>
      </c>
      <c r="V246" s="664">
        <v>5390</v>
      </c>
      <c r="W246" s="664">
        <v>6285</v>
      </c>
      <c r="X246" s="664">
        <v>4210</v>
      </c>
      <c r="Y246" s="664" t="s">
        <v>769</v>
      </c>
      <c r="Z246" s="664">
        <v>5060</v>
      </c>
      <c r="AA246" s="664" t="s">
        <v>769</v>
      </c>
      <c r="AB246" s="664">
        <v>4750</v>
      </c>
      <c r="AC246" s="664" t="s">
        <v>472</v>
      </c>
      <c r="AD246" s="664">
        <v>5705</v>
      </c>
    </row>
    <row r="247" spans="1:31" ht="30" hidden="1">
      <c r="A247" s="646" t="str">
        <f t="shared" si="30"/>
        <v>PWA2Fender</v>
      </c>
      <c r="B247" s="639" t="s">
        <v>473</v>
      </c>
      <c r="C247" s="640">
        <v>3365</v>
      </c>
      <c r="D247" s="640">
        <v>3320</v>
      </c>
      <c r="E247" s="664">
        <v>3450</v>
      </c>
      <c r="F247" s="664">
        <v>3475</v>
      </c>
      <c r="G247" s="664">
        <v>3375</v>
      </c>
      <c r="H247" s="664">
        <v>3365</v>
      </c>
      <c r="I247" s="664">
        <v>3310</v>
      </c>
      <c r="J247" s="664">
        <v>3530</v>
      </c>
      <c r="K247" s="664">
        <v>3530</v>
      </c>
      <c r="L247" s="664">
        <v>3620</v>
      </c>
      <c r="M247" s="664">
        <v>3650</v>
      </c>
      <c r="N247" s="664">
        <v>3905</v>
      </c>
      <c r="O247" s="664">
        <v>3600</v>
      </c>
      <c r="P247" s="664">
        <v>3345</v>
      </c>
      <c r="Q247" s="664">
        <v>3485</v>
      </c>
      <c r="R247" s="664">
        <v>3375</v>
      </c>
      <c r="S247" s="664">
        <v>3410</v>
      </c>
      <c r="T247" s="664">
        <v>3195</v>
      </c>
      <c r="U247" s="664">
        <v>3240</v>
      </c>
      <c r="V247" s="664">
        <v>3540</v>
      </c>
      <c r="W247" s="664">
        <v>3540</v>
      </c>
      <c r="X247" s="664">
        <v>3285</v>
      </c>
      <c r="Y247" s="664" t="s">
        <v>770</v>
      </c>
      <c r="Z247" s="664">
        <v>4165</v>
      </c>
      <c r="AA247" s="664" t="s">
        <v>770</v>
      </c>
      <c r="AB247" s="664">
        <v>2675</v>
      </c>
      <c r="AC247" s="664" t="s">
        <v>473</v>
      </c>
      <c r="AD247" s="664">
        <v>3195</v>
      </c>
    </row>
    <row r="248" spans="1:31" ht="45" hidden="1">
      <c r="A248" s="646" t="str">
        <f t="shared" si="30"/>
        <v>PWA2Front Door</v>
      </c>
      <c r="B248" s="639" t="s">
        <v>770</v>
      </c>
      <c r="C248" s="640">
        <v>4395</v>
      </c>
      <c r="D248" s="640">
        <v>4395</v>
      </c>
      <c r="E248" s="664">
        <v>4395</v>
      </c>
      <c r="F248" s="664">
        <v>4805</v>
      </c>
      <c r="G248" s="664">
        <v>4685</v>
      </c>
      <c r="H248" s="664">
        <v>4560</v>
      </c>
      <c r="I248" s="664">
        <v>4685</v>
      </c>
      <c r="J248" s="664">
        <v>4815</v>
      </c>
      <c r="K248" s="664">
        <v>4815</v>
      </c>
      <c r="L248" s="664">
        <v>4585</v>
      </c>
      <c r="M248" s="664">
        <v>5040</v>
      </c>
      <c r="N248" s="664">
        <v>4575</v>
      </c>
      <c r="O248" s="664">
        <v>4720</v>
      </c>
      <c r="P248" s="664">
        <v>4675</v>
      </c>
      <c r="Q248" s="664">
        <v>4730</v>
      </c>
      <c r="R248" s="664">
        <v>4685</v>
      </c>
      <c r="S248" s="664">
        <v>4620</v>
      </c>
      <c r="T248" s="664">
        <v>4740</v>
      </c>
      <c r="U248" s="664">
        <v>4685</v>
      </c>
      <c r="V248" s="664">
        <v>4360</v>
      </c>
      <c r="W248" s="664">
        <v>4760</v>
      </c>
      <c r="X248" s="664">
        <v>4240</v>
      </c>
      <c r="Y248" s="664" t="s">
        <v>771</v>
      </c>
      <c r="Z248" s="664">
        <v>4305</v>
      </c>
      <c r="AA248" s="664" t="s">
        <v>473</v>
      </c>
      <c r="AB248" s="664">
        <v>4240</v>
      </c>
      <c r="AC248" s="664" t="s">
        <v>770</v>
      </c>
      <c r="AD248" s="664">
        <v>4175</v>
      </c>
    </row>
    <row r="249" spans="1:31" ht="45" hidden="1">
      <c r="A249" s="646" t="str">
        <f t="shared" si="30"/>
        <v>PWA2Rear Door</v>
      </c>
      <c r="B249" s="639" t="s">
        <v>772</v>
      </c>
      <c r="C249" s="640">
        <v>4395</v>
      </c>
      <c r="D249" s="640">
        <v>4395</v>
      </c>
      <c r="E249" s="664">
        <v>4395</v>
      </c>
      <c r="F249" s="664">
        <v>5095</v>
      </c>
      <c r="G249" s="664">
        <v>4685</v>
      </c>
      <c r="H249" s="664">
        <v>4560</v>
      </c>
      <c r="I249" s="664">
        <v>4685</v>
      </c>
      <c r="J249" s="664">
        <v>4815</v>
      </c>
      <c r="K249" s="664">
        <v>4815</v>
      </c>
      <c r="L249" s="664">
        <v>4585</v>
      </c>
      <c r="M249" s="664">
        <v>5040</v>
      </c>
      <c r="N249" s="664">
        <v>4460</v>
      </c>
      <c r="O249" s="664">
        <v>4720</v>
      </c>
      <c r="P249" s="664">
        <v>4570</v>
      </c>
      <c r="Q249" s="664">
        <v>4730</v>
      </c>
      <c r="R249" s="664">
        <v>4360</v>
      </c>
      <c r="S249" s="664">
        <v>4490</v>
      </c>
      <c r="T249" s="664">
        <v>4475</v>
      </c>
      <c r="U249" s="664">
        <v>4340</v>
      </c>
      <c r="V249" s="664">
        <v>4360</v>
      </c>
      <c r="W249" s="664">
        <v>4760</v>
      </c>
      <c r="X249" s="664">
        <v>4240</v>
      </c>
      <c r="Y249" s="664" t="s">
        <v>773</v>
      </c>
      <c r="Z249" s="664">
        <v>4795</v>
      </c>
      <c r="AA249" s="664"/>
      <c r="AB249" s="664"/>
      <c r="AC249" s="664" t="s">
        <v>774</v>
      </c>
      <c r="AD249" s="664">
        <v>4485</v>
      </c>
    </row>
    <row r="250" spans="1:31" ht="45" hidden="1">
      <c r="A250" s="646" t="str">
        <f t="shared" si="30"/>
        <v>PWA2Back Door</v>
      </c>
      <c r="B250" s="639" t="s">
        <v>773</v>
      </c>
      <c r="C250" s="640">
        <v>4375</v>
      </c>
      <c r="D250" s="640">
        <v>4375</v>
      </c>
      <c r="E250" s="664">
        <v>4375</v>
      </c>
      <c r="F250" s="664">
        <v>5150</v>
      </c>
      <c r="G250" s="664">
        <v>4775</v>
      </c>
      <c r="H250" s="664">
        <v>3705</v>
      </c>
      <c r="I250" s="664">
        <v>4775</v>
      </c>
      <c r="J250" s="664">
        <v>4395</v>
      </c>
      <c r="K250" s="664">
        <v>4930</v>
      </c>
      <c r="L250" s="664">
        <v>4630</v>
      </c>
      <c r="M250" s="664">
        <v>5095</v>
      </c>
      <c r="N250" s="664">
        <v>4575</v>
      </c>
      <c r="O250" s="664">
        <v>4560</v>
      </c>
      <c r="P250" s="664">
        <v>4740</v>
      </c>
      <c r="Q250" s="664">
        <v>5115</v>
      </c>
      <c r="R250" s="664">
        <v>4240</v>
      </c>
      <c r="S250" s="664">
        <v>4570</v>
      </c>
      <c r="T250" s="664">
        <v>5085</v>
      </c>
      <c r="U250" s="664">
        <v>5085</v>
      </c>
      <c r="V250" s="664">
        <v>4675</v>
      </c>
      <c r="W250" s="664">
        <v>4805</v>
      </c>
      <c r="X250" s="664">
        <v>4130</v>
      </c>
      <c r="Y250" s="641" t="s">
        <v>474</v>
      </c>
      <c r="Z250" s="664">
        <v>9025</v>
      </c>
      <c r="AA250" s="666"/>
      <c r="AB250" s="666"/>
      <c r="AC250" s="666"/>
      <c r="AD250" s="666"/>
    </row>
    <row r="251" spans="1:31" ht="30" hidden="1">
      <c r="A251" s="646" t="str">
        <f t="shared" si="30"/>
        <v>PWA2Roof</v>
      </c>
      <c r="B251" s="647" t="s">
        <v>474</v>
      </c>
      <c r="C251" s="640">
        <v>6640</v>
      </c>
      <c r="D251" s="640">
        <v>6640</v>
      </c>
      <c r="E251" s="664">
        <v>6815</v>
      </c>
      <c r="F251" s="664">
        <v>9580</v>
      </c>
      <c r="G251" s="664">
        <v>7750</v>
      </c>
      <c r="H251" s="664">
        <v>6960</v>
      </c>
      <c r="I251" s="664">
        <v>7325</v>
      </c>
      <c r="J251" s="664">
        <v>6815</v>
      </c>
      <c r="K251" s="664">
        <v>6815</v>
      </c>
      <c r="L251" s="664">
        <v>7305</v>
      </c>
      <c r="M251" s="664">
        <v>8035</v>
      </c>
      <c r="N251" s="664">
        <v>6680</v>
      </c>
      <c r="O251" s="664">
        <v>6770</v>
      </c>
      <c r="P251" s="664">
        <v>6695</v>
      </c>
      <c r="Q251" s="664">
        <v>8050</v>
      </c>
      <c r="R251" s="664">
        <v>7505</v>
      </c>
      <c r="S251" s="664">
        <v>7480</v>
      </c>
      <c r="T251" s="664">
        <v>6915</v>
      </c>
      <c r="U251" s="664">
        <v>7135</v>
      </c>
      <c r="V251" s="664">
        <v>6615</v>
      </c>
      <c r="W251" s="664">
        <v>6295</v>
      </c>
      <c r="X251" s="664">
        <v>6340</v>
      </c>
      <c r="Y251" s="664" t="s">
        <v>475</v>
      </c>
      <c r="Z251" s="664">
        <v>33380</v>
      </c>
      <c r="AA251" s="666"/>
      <c r="AB251" s="665"/>
      <c r="AC251" s="665"/>
      <c r="AD251" s="665"/>
    </row>
    <row r="252" spans="1:31" ht="60" hidden="1">
      <c r="A252" s="646" t="str">
        <f t="shared" si="30"/>
        <v>PWA2Full Car Painting</v>
      </c>
      <c r="B252" s="639" t="s">
        <v>475</v>
      </c>
      <c r="C252" s="640">
        <v>42480</v>
      </c>
      <c r="D252" s="640">
        <v>43225</v>
      </c>
      <c r="E252" s="664">
        <v>43535</v>
      </c>
      <c r="F252" s="664">
        <v>48950</v>
      </c>
      <c r="G252" s="664">
        <v>44700</v>
      </c>
      <c r="H252" s="664">
        <v>43710</v>
      </c>
      <c r="I252" s="664">
        <v>45690</v>
      </c>
      <c r="J252" s="664">
        <v>46585</v>
      </c>
      <c r="K252" s="664">
        <v>47010</v>
      </c>
      <c r="L252" s="664">
        <v>44800</v>
      </c>
      <c r="M252" s="664">
        <v>51615</v>
      </c>
      <c r="N252" s="664">
        <v>46045</v>
      </c>
      <c r="O252" s="664">
        <v>46080</v>
      </c>
      <c r="P252" s="664">
        <v>45690</v>
      </c>
      <c r="Q252" s="664">
        <v>48850</v>
      </c>
      <c r="R252" s="664">
        <v>45655</v>
      </c>
      <c r="S252" s="664">
        <v>44480</v>
      </c>
      <c r="T252" s="664">
        <v>43610</v>
      </c>
      <c r="U252" s="664">
        <v>43855</v>
      </c>
      <c r="V252" s="664">
        <v>43865</v>
      </c>
      <c r="W252" s="664">
        <v>48595</v>
      </c>
      <c r="X252" s="664">
        <v>34875</v>
      </c>
      <c r="Y252" s="664"/>
      <c r="Z252" s="664"/>
      <c r="AA252" s="666"/>
      <c r="AB252" s="665"/>
      <c r="AC252" s="665"/>
      <c r="AD252" s="665"/>
    </row>
    <row r="253" spans="1:31" hidden="1"/>
    <row r="254" spans="1:31" hidden="1"/>
    <row r="255" spans="1:31" ht="30" hidden="1">
      <c r="A255" s="646" t="s">
        <v>791</v>
      </c>
      <c r="B255" s="642" t="s">
        <v>776</v>
      </c>
      <c r="C255" s="642"/>
      <c r="D255" s="642"/>
      <c r="E255" s="642"/>
      <c r="F255" s="642"/>
      <c r="G255" s="642"/>
      <c r="H255" s="642"/>
      <c r="I255" s="642"/>
      <c r="J255" s="642"/>
      <c r="K255" s="642"/>
      <c r="L255" s="642"/>
      <c r="M255" s="642"/>
      <c r="N255" s="642"/>
      <c r="O255" s="642"/>
      <c r="P255" s="642"/>
      <c r="Q255" s="642"/>
      <c r="R255" s="642"/>
      <c r="S255" s="642"/>
      <c r="T255" s="642"/>
      <c r="U255" s="642"/>
      <c r="V255" s="642"/>
      <c r="W255" s="642"/>
      <c r="X255" s="642"/>
      <c r="Y255" s="642"/>
      <c r="Z255" s="642"/>
      <c r="AA255" s="642"/>
      <c r="AB255" s="642"/>
      <c r="AC255" s="642"/>
      <c r="AD255" s="642"/>
      <c r="AE255" s="642"/>
    </row>
    <row r="256" spans="1:31" ht="25.5" hidden="1">
      <c r="A256" s="646"/>
      <c r="B256" s="637" t="s">
        <v>499</v>
      </c>
      <c r="C256" s="783" t="s">
        <v>753</v>
      </c>
      <c r="D256" s="783" t="s">
        <v>754</v>
      </c>
      <c r="E256" s="783" t="s">
        <v>755</v>
      </c>
      <c r="F256" s="783" t="s">
        <v>461</v>
      </c>
      <c r="G256" s="784" t="s">
        <v>756</v>
      </c>
      <c r="H256" s="783" t="s">
        <v>757</v>
      </c>
      <c r="I256" s="783" t="s">
        <v>462</v>
      </c>
      <c r="J256" s="783" t="s">
        <v>463</v>
      </c>
      <c r="K256" s="783" t="s">
        <v>758</v>
      </c>
      <c r="L256" s="785" t="s">
        <v>793</v>
      </c>
      <c r="M256" s="783" t="s">
        <v>759</v>
      </c>
      <c r="N256" s="783" t="s">
        <v>465</v>
      </c>
      <c r="O256" s="783" t="s">
        <v>807</v>
      </c>
      <c r="P256" s="783" t="s">
        <v>469</v>
      </c>
      <c r="Q256" s="783" t="s">
        <v>470</v>
      </c>
      <c r="R256" s="783" t="s">
        <v>760</v>
      </c>
      <c r="S256" s="783" t="s">
        <v>468</v>
      </c>
      <c r="T256" s="783" t="s">
        <v>761</v>
      </c>
      <c r="U256" s="783" t="s">
        <v>762</v>
      </c>
      <c r="V256" s="783" t="s">
        <v>808</v>
      </c>
      <c r="W256" s="783" t="s">
        <v>763</v>
      </c>
      <c r="X256" s="783" t="s">
        <v>764</v>
      </c>
      <c r="Y256" s="783" t="s">
        <v>467</v>
      </c>
      <c r="Z256" s="783"/>
      <c r="AA256" s="783" t="s">
        <v>765</v>
      </c>
      <c r="AB256" s="783"/>
      <c r="AC256" s="783" t="s">
        <v>766</v>
      </c>
      <c r="AD256" s="783"/>
    </row>
    <row r="257" spans="1:31" ht="60" hidden="1">
      <c r="A257" s="646" t="str">
        <f>"PWB"&amp;B257</f>
        <v>PWBFront Bumper</v>
      </c>
      <c r="B257" s="639" t="s">
        <v>767</v>
      </c>
      <c r="C257" s="778">
        <v>4269</v>
      </c>
      <c r="D257" s="778">
        <v>4644</v>
      </c>
      <c r="E257" s="778">
        <v>5179</v>
      </c>
      <c r="F257" s="778">
        <v>4954</v>
      </c>
      <c r="G257" s="778">
        <v>4467</v>
      </c>
      <c r="H257" s="778">
        <v>5323</v>
      </c>
      <c r="I257" s="778">
        <v>5452</v>
      </c>
      <c r="J257" s="778">
        <v>5387</v>
      </c>
      <c r="K257" s="778">
        <v>5387</v>
      </c>
      <c r="L257" s="778">
        <v>4917</v>
      </c>
      <c r="M257" s="778">
        <v>6072</v>
      </c>
      <c r="N257" s="778">
        <v>4869</v>
      </c>
      <c r="O257" s="778">
        <v>4473</v>
      </c>
      <c r="P257" s="778">
        <v>5141</v>
      </c>
      <c r="Q257" s="778">
        <v>5789</v>
      </c>
      <c r="R257" s="778">
        <v>5280</v>
      </c>
      <c r="S257" s="778">
        <v>4467</v>
      </c>
      <c r="T257" s="778">
        <v>3799</v>
      </c>
      <c r="U257" s="778">
        <v>4719</v>
      </c>
      <c r="V257" s="778">
        <v>5607</v>
      </c>
      <c r="W257" s="778">
        <v>5313</v>
      </c>
      <c r="X257" s="778"/>
      <c r="Y257" s="778" t="s">
        <v>476</v>
      </c>
      <c r="Z257" s="778"/>
      <c r="AA257" s="778" t="s">
        <v>476</v>
      </c>
      <c r="AB257" s="778"/>
      <c r="AC257" s="778" t="s">
        <v>476</v>
      </c>
      <c r="AD257" s="778"/>
    </row>
    <row r="258" spans="1:31" ht="60" hidden="1">
      <c r="A258" s="646" t="str">
        <f t="shared" ref="A258:A265" si="31">"PWB"&amp;B258</f>
        <v>PWBRear Bumper</v>
      </c>
      <c r="B258" s="639" t="s">
        <v>768</v>
      </c>
      <c r="C258" s="778">
        <v>4269</v>
      </c>
      <c r="D258" s="778">
        <v>4408</v>
      </c>
      <c r="E258" s="778">
        <v>4558</v>
      </c>
      <c r="F258" s="778">
        <v>5355</v>
      </c>
      <c r="G258" s="778">
        <v>4334</v>
      </c>
      <c r="H258" s="778">
        <v>4804</v>
      </c>
      <c r="I258" s="778">
        <v>4965</v>
      </c>
      <c r="J258" s="778">
        <v>5387</v>
      </c>
      <c r="K258" s="778">
        <v>5387</v>
      </c>
      <c r="L258" s="778">
        <v>4141</v>
      </c>
      <c r="M258" s="778">
        <v>6072</v>
      </c>
      <c r="N258" s="778">
        <v>5901</v>
      </c>
      <c r="O258" s="778">
        <v>4922</v>
      </c>
      <c r="P258" s="778">
        <v>5708</v>
      </c>
      <c r="Q258" s="778">
        <v>6136</v>
      </c>
      <c r="R258" s="778">
        <v>5313</v>
      </c>
      <c r="S258" s="778">
        <v>4703</v>
      </c>
      <c r="T258" s="778">
        <v>3740</v>
      </c>
      <c r="U258" s="778">
        <v>3927</v>
      </c>
      <c r="V258" s="778">
        <v>5762</v>
      </c>
      <c r="W258" s="778">
        <v>5313</v>
      </c>
      <c r="X258" s="778"/>
      <c r="Y258" s="778" t="s">
        <v>476</v>
      </c>
      <c r="Z258" s="787"/>
      <c r="AA258" s="778" t="s">
        <v>476</v>
      </c>
      <c r="AB258" s="787"/>
      <c r="AC258" s="778" t="s">
        <v>476</v>
      </c>
      <c r="AD258" s="787"/>
    </row>
    <row r="259" spans="1:31" ht="30" hidden="1">
      <c r="A259" s="646" t="str">
        <f t="shared" si="31"/>
        <v>PWBBonnet</v>
      </c>
      <c r="B259" s="639" t="s">
        <v>472</v>
      </c>
      <c r="C259" s="778">
        <v>4756</v>
      </c>
      <c r="D259" s="778">
        <v>5302</v>
      </c>
      <c r="E259" s="778">
        <v>4660</v>
      </c>
      <c r="F259" s="778">
        <v>5066</v>
      </c>
      <c r="G259" s="778">
        <v>4606</v>
      </c>
      <c r="H259" s="778">
        <v>4435</v>
      </c>
      <c r="I259" s="778">
        <v>4954</v>
      </c>
      <c r="J259" s="778">
        <v>5291</v>
      </c>
      <c r="K259" s="778">
        <v>5291</v>
      </c>
      <c r="L259" s="778">
        <v>4408</v>
      </c>
      <c r="M259" s="778">
        <v>7265</v>
      </c>
      <c r="N259" s="778">
        <v>5511</v>
      </c>
      <c r="O259" s="778">
        <v>4981</v>
      </c>
      <c r="P259" s="778">
        <v>6024</v>
      </c>
      <c r="Q259" s="778">
        <v>6527</v>
      </c>
      <c r="R259" s="778">
        <v>5537</v>
      </c>
      <c r="S259" s="778">
        <v>5141</v>
      </c>
      <c r="T259" s="778">
        <v>5901</v>
      </c>
      <c r="U259" s="778">
        <v>5131</v>
      </c>
      <c r="V259" s="778">
        <v>5371</v>
      </c>
      <c r="W259" s="778">
        <v>6677</v>
      </c>
      <c r="X259" s="778">
        <v>4408</v>
      </c>
      <c r="Y259" s="778" t="s">
        <v>769</v>
      </c>
      <c r="Z259" s="778">
        <v>5280</v>
      </c>
      <c r="AA259" s="778" t="s">
        <v>769</v>
      </c>
      <c r="AB259" s="778">
        <v>5040</v>
      </c>
      <c r="AC259" s="778" t="s">
        <v>472</v>
      </c>
      <c r="AD259" s="778">
        <v>6046</v>
      </c>
    </row>
    <row r="260" spans="1:31" ht="30" hidden="1">
      <c r="A260" s="646" t="str">
        <f t="shared" si="31"/>
        <v>PWBFender</v>
      </c>
      <c r="B260" s="639" t="s">
        <v>473</v>
      </c>
      <c r="C260" s="778">
        <v>3563</v>
      </c>
      <c r="D260" s="778">
        <v>3526</v>
      </c>
      <c r="E260" s="778">
        <v>3665</v>
      </c>
      <c r="F260" s="778">
        <v>3686</v>
      </c>
      <c r="G260" s="778">
        <v>3574</v>
      </c>
      <c r="H260" s="778">
        <v>3563</v>
      </c>
      <c r="I260" s="778">
        <v>3515</v>
      </c>
      <c r="J260" s="778">
        <v>3740</v>
      </c>
      <c r="K260" s="778">
        <v>3740</v>
      </c>
      <c r="L260" s="778">
        <v>3847</v>
      </c>
      <c r="M260" s="778">
        <v>3879</v>
      </c>
      <c r="N260" s="778">
        <v>4146</v>
      </c>
      <c r="O260" s="778">
        <v>3558</v>
      </c>
      <c r="P260" s="778">
        <v>3552</v>
      </c>
      <c r="Q260" s="778">
        <v>3692</v>
      </c>
      <c r="R260" s="778">
        <v>3574</v>
      </c>
      <c r="S260" s="778">
        <v>3617</v>
      </c>
      <c r="T260" s="778">
        <v>3392</v>
      </c>
      <c r="U260" s="778">
        <v>3440</v>
      </c>
      <c r="V260" s="778">
        <v>3713</v>
      </c>
      <c r="W260" s="778">
        <v>3750</v>
      </c>
      <c r="X260" s="778">
        <v>3494</v>
      </c>
      <c r="Y260" s="778" t="s">
        <v>770</v>
      </c>
      <c r="Z260" s="778">
        <v>4419</v>
      </c>
      <c r="AA260" s="778" t="s">
        <v>770</v>
      </c>
      <c r="AB260" s="778">
        <v>2841</v>
      </c>
      <c r="AC260" s="778" t="s">
        <v>473</v>
      </c>
      <c r="AD260" s="778">
        <v>3392</v>
      </c>
    </row>
    <row r="261" spans="1:31" ht="45" hidden="1">
      <c r="A261" s="646" t="str">
        <f t="shared" si="31"/>
        <v>PWBFront Door</v>
      </c>
      <c r="B261" s="639" t="s">
        <v>770</v>
      </c>
      <c r="C261" s="778">
        <v>4671</v>
      </c>
      <c r="D261" s="778">
        <v>4671</v>
      </c>
      <c r="E261" s="778">
        <v>4671</v>
      </c>
      <c r="F261" s="778">
        <v>5040</v>
      </c>
      <c r="G261" s="778">
        <v>4981</v>
      </c>
      <c r="H261" s="778">
        <v>4842</v>
      </c>
      <c r="I261" s="778">
        <v>4981</v>
      </c>
      <c r="J261" s="778">
        <v>5120</v>
      </c>
      <c r="K261" s="778">
        <v>5120</v>
      </c>
      <c r="L261" s="778">
        <v>4869</v>
      </c>
      <c r="M261" s="778">
        <v>5355</v>
      </c>
      <c r="N261" s="778">
        <v>4858</v>
      </c>
      <c r="O261" s="778">
        <v>5302</v>
      </c>
      <c r="P261" s="778">
        <v>4965</v>
      </c>
      <c r="Q261" s="778">
        <v>5018</v>
      </c>
      <c r="R261" s="778">
        <v>4981</v>
      </c>
      <c r="S261" s="778">
        <v>4895</v>
      </c>
      <c r="T261" s="778">
        <v>5029</v>
      </c>
      <c r="U261" s="778">
        <v>4981</v>
      </c>
      <c r="V261" s="778">
        <v>5072</v>
      </c>
      <c r="W261" s="778">
        <v>5056</v>
      </c>
      <c r="X261" s="778">
        <v>4510</v>
      </c>
      <c r="Y261" s="778" t="s">
        <v>771</v>
      </c>
      <c r="Z261" s="778">
        <v>4569</v>
      </c>
      <c r="AA261" s="778" t="s">
        <v>473</v>
      </c>
      <c r="AB261" s="778">
        <v>4510</v>
      </c>
      <c r="AC261" s="778" t="s">
        <v>770</v>
      </c>
      <c r="AD261" s="778">
        <v>4435</v>
      </c>
    </row>
    <row r="262" spans="1:31" ht="45" hidden="1">
      <c r="A262" s="646" t="str">
        <f t="shared" si="31"/>
        <v>PWBRear Door</v>
      </c>
      <c r="B262" s="639" t="s">
        <v>772</v>
      </c>
      <c r="C262" s="778">
        <v>4671</v>
      </c>
      <c r="D262" s="778">
        <v>4671</v>
      </c>
      <c r="E262" s="778">
        <v>4671</v>
      </c>
      <c r="F262" s="778">
        <v>5404</v>
      </c>
      <c r="G262" s="778">
        <v>4981</v>
      </c>
      <c r="H262" s="778">
        <v>4842</v>
      </c>
      <c r="I262" s="778">
        <v>4981</v>
      </c>
      <c r="J262" s="778">
        <v>5120</v>
      </c>
      <c r="K262" s="778">
        <v>5120</v>
      </c>
      <c r="L262" s="778">
        <v>4869</v>
      </c>
      <c r="M262" s="778">
        <v>5355</v>
      </c>
      <c r="N262" s="778">
        <v>4649</v>
      </c>
      <c r="O262" s="778">
        <v>4799</v>
      </c>
      <c r="P262" s="778">
        <v>4842</v>
      </c>
      <c r="Q262" s="778">
        <v>5018</v>
      </c>
      <c r="R262" s="778">
        <v>4633</v>
      </c>
      <c r="S262" s="778">
        <v>4671</v>
      </c>
      <c r="T262" s="778">
        <v>4745</v>
      </c>
      <c r="U262" s="778">
        <v>4612</v>
      </c>
      <c r="V262" s="778">
        <v>5489</v>
      </c>
      <c r="W262" s="778">
        <v>5056</v>
      </c>
      <c r="X262" s="778">
        <v>4510</v>
      </c>
      <c r="Y262" s="778" t="s">
        <v>773</v>
      </c>
      <c r="Z262" s="778">
        <v>5088</v>
      </c>
      <c r="AA262" s="778"/>
      <c r="AB262" s="778"/>
      <c r="AC262" s="778" t="s">
        <v>774</v>
      </c>
      <c r="AD262" s="778">
        <v>4756</v>
      </c>
    </row>
    <row r="263" spans="1:31" ht="45" hidden="1">
      <c r="A263" s="646" t="str">
        <f t="shared" si="31"/>
        <v>PWBBack Door</v>
      </c>
      <c r="B263" s="639" t="s">
        <v>773</v>
      </c>
      <c r="C263" s="778">
        <v>4644</v>
      </c>
      <c r="D263" s="778">
        <v>4644</v>
      </c>
      <c r="E263" s="778">
        <v>4644</v>
      </c>
      <c r="F263" s="778">
        <v>5462</v>
      </c>
      <c r="G263" s="778">
        <v>5066</v>
      </c>
      <c r="H263" s="778">
        <v>3938</v>
      </c>
      <c r="I263" s="778">
        <v>5066</v>
      </c>
      <c r="J263" s="778">
        <v>4671</v>
      </c>
      <c r="K263" s="778">
        <v>5232</v>
      </c>
      <c r="L263" s="778">
        <v>4917</v>
      </c>
      <c r="M263" s="778">
        <v>5404</v>
      </c>
      <c r="N263" s="778">
        <v>4858</v>
      </c>
      <c r="O263" s="778">
        <v>5141</v>
      </c>
      <c r="P263" s="778">
        <v>5029</v>
      </c>
      <c r="Q263" s="778">
        <v>5425</v>
      </c>
      <c r="R263" s="778">
        <v>4510</v>
      </c>
      <c r="S263" s="778">
        <v>4815</v>
      </c>
      <c r="T263" s="778">
        <v>5387</v>
      </c>
      <c r="U263" s="778">
        <v>5387</v>
      </c>
      <c r="V263" s="778">
        <v>5628</v>
      </c>
      <c r="W263" s="778">
        <v>5104</v>
      </c>
      <c r="X263" s="778">
        <v>4387</v>
      </c>
      <c r="Y263" s="788" t="s">
        <v>474</v>
      </c>
      <c r="Z263" s="778">
        <v>9587</v>
      </c>
      <c r="AA263" s="789"/>
      <c r="AB263" s="789"/>
      <c r="AC263" s="789"/>
      <c r="AD263" s="789"/>
    </row>
    <row r="264" spans="1:31" ht="30" hidden="1">
      <c r="A264" s="646" t="str">
        <f t="shared" si="31"/>
        <v>PWBRoof</v>
      </c>
      <c r="B264" s="647" t="s">
        <v>474</v>
      </c>
      <c r="C264" s="778">
        <v>7041</v>
      </c>
      <c r="D264" s="778">
        <v>7041</v>
      </c>
      <c r="E264" s="778">
        <v>7239</v>
      </c>
      <c r="F264" s="778">
        <v>10165</v>
      </c>
      <c r="G264" s="778">
        <v>8223</v>
      </c>
      <c r="H264" s="778">
        <v>7388</v>
      </c>
      <c r="I264" s="778">
        <v>7774</v>
      </c>
      <c r="J264" s="778">
        <v>7239</v>
      </c>
      <c r="K264" s="778">
        <v>7239</v>
      </c>
      <c r="L264" s="778">
        <v>7747</v>
      </c>
      <c r="M264" s="778">
        <v>8528</v>
      </c>
      <c r="N264" s="778">
        <v>7094</v>
      </c>
      <c r="O264" s="778">
        <v>8801</v>
      </c>
      <c r="P264" s="778">
        <v>7105</v>
      </c>
      <c r="Q264" s="778">
        <v>8539</v>
      </c>
      <c r="R264" s="778">
        <v>7972</v>
      </c>
      <c r="S264" s="778">
        <v>7945</v>
      </c>
      <c r="T264" s="778">
        <v>7340</v>
      </c>
      <c r="U264" s="778">
        <v>7570</v>
      </c>
      <c r="V264" s="778">
        <v>10427</v>
      </c>
      <c r="W264" s="778">
        <v>6677</v>
      </c>
      <c r="X264" s="778">
        <v>6730</v>
      </c>
      <c r="Y264" s="778" t="s">
        <v>475</v>
      </c>
      <c r="Z264" s="778">
        <v>35417</v>
      </c>
      <c r="AA264" s="789"/>
      <c r="AB264" s="787"/>
      <c r="AC264" s="787"/>
      <c r="AD264" s="787"/>
    </row>
    <row r="265" spans="1:31" ht="60" hidden="1">
      <c r="A265" s="646" t="str">
        <f t="shared" si="31"/>
        <v>PWBFull Car Painting</v>
      </c>
      <c r="B265" s="639" t="s">
        <v>475</v>
      </c>
      <c r="C265" s="778">
        <v>45079</v>
      </c>
      <c r="D265" s="778">
        <v>45866</v>
      </c>
      <c r="E265" s="778">
        <v>46197</v>
      </c>
      <c r="F265" s="778">
        <v>51949</v>
      </c>
      <c r="G265" s="778">
        <v>47428</v>
      </c>
      <c r="H265" s="778">
        <v>46385</v>
      </c>
      <c r="I265" s="778">
        <v>46482</v>
      </c>
      <c r="J265" s="778">
        <v>49434</v>
      </c>
      <c r="K265" s="778">
        <v>49883</v>
      </c>
      <c r="L265" s="778">
        <v>47540</v>
      </c>
      <c r="M265" s="778">
        <v>54773</v>
      </c>
      <c r="N265" s="778">
        <v>48867</v>
      </c>
      <c r="O265" s="778">
        <v>48915</v>
      </c>
      <c r="P265" s="778">
        <v>48482</v>
      </c>
      <c r="Q265" s="778">
        <v>51847</v>
      </c>
      <c r="R265" s="778">
        <v>48444</v>
      </c>
      <c r="S265" s="778">
        <v>47203</v>
      </c>
      <c r="T265" s="778">
        <v>46272</v>
      </c>
      <c r="U265" s="778">
        <v>46545</v>
      </c>
      <c r="V265" s="778">
        <v>53618</v>
      </c>
      <c r="W265" s="778">
        <v>51558</v>
      </c>
      <c r="X265" s="778">
        <v>37011</v>
      </c>
      <c r="Y265" s="778"/>
      <c r="Z265" s="778"/>
      <c r="AA265" s="789"/>
      <c r="AB265" s="787"/>
      <c r="AC265" s="787"/>
      <c r="AD265" s="787"/>
    </row>
    <row r="266" spans="1:31" hidden="1">
      <c r="Z266" s="782"/>
      <c r="AA266" s="782"/>
      <c r="AB266" s="782"/>
      <c r="AC266" s="782"/>
      <c r="AD266" s="782"/>
    </row>
    <row r="267" spans="1:31" hidden="1">
      <c r="Z267" s="782"/>
      <c r="AA267" s="782"/>
      <c r="AB267" s="782"/>
      <c r="AC267" s="782"/>
      <c r="AD267" s="782"/>
    </row>
    <row r="268" spans="1:31" ht="0.75" hidden="1" customHeight="1">
      <c r="A268" s="646" t="s">
        <v>792</v>
      </c>
      <c r="B268" s="642" t="s">
        <v>777</v>
      </c>
      <c r="C268" s="642"/>
      <c r="D268" s="642"/>
      <c r="E268" s="642"/>
      <c r="F268" s="642"/>
      <c r="G268" s="642"/>
      <c r="H268" s="642"/>
      <c r="I268" s="642"/>
      <c r="J268" s="642"/>
      <c r="K268" s="642"/>
      <c r="L268" s="642"/>
      <c r="M268" s="642"/>
      <c r="N268" s="642"/>
      <c r="O268" s="642"/>
      <c r="P268" s="642"/>
      <c r="Q268" s="642"/>
      <c r="R268" s="642"/>
      <c r="S268" s="642"/>
      <c r="T268" s="642"/>
      <c r="U268" s="642"/>
      <c r="V268" s="642"/>
      <c r="W268" s="642"/>
      <c r="X268" s="642"/>
      <c r="Y268" s="642"/>
      <c r="Z268" s="642"/>
      <c r="AA268" s="642"/>
      <c r="AB268" s="642"/>
      <c r="AC268" s="642"/>
      <c r="AD268" s="642"/>
      <c r="AE268" s="642"/>
    </row>
    <row r="269" spans="1:31" ht="25.5" hidden="1">
      <c r="A269" s="646"/>
      <c r="B269" s="637" t="s">
        <v>499</v>
      </c>
      <c r="C269" s="637" t="s">
        <v>753</v>
      </c>
      <c r="D269" s="637" t="s">
        <v>754</v>
      </c>
      <c r="E269" s="667" t="s">
        <v>755</v>
      </c>
      <c r="F269" s="667" t="s">
        <v>461</v>
      </c>
      <c r="G269" s="638" t="s">
        <v>756</v>
      </c>
      <c r="H269" s="667" t="s">
        <v>757</v>
      </c>
      <c r="I269" s="667" t="s">
        <v>462</v>
      </c>
      <c r="J269" s="667" t="s">
        <v>463</v>
      </c>
      <c r="K269" s="667" t="s">
        <v>758</v>
      </c>
      <c r="L269" s="652" t="s">
        <v>793</v>
      </c>
      <c r="M269" s="667" t="s">
        <v>759</v>
      </c>
      <c r="N269" s="667" t="s">
        <v>465</v>
      </c>
      <c r="O269" s="667" t="s">
        <v>466</v>
      </c>
      <c r="P269" s="667" t="s">
        <v>469</v>
      </c>
      <c r="Q269" s="667" t="s">
        <v>470</v>
      </c>
      <c r="R269" s="667" t="s">
        <v>760</v>
      </c>
      <c r="S269" s="667" t="s">
        <v>468</v>
      </c>
      <c r="T269" s="667" t="s">
        <v>761</v>
      </c>
      <c r="U269" s="667" t="s">
        <v>762</v>
      </c>
      <c r="V269" s="667" t="s">
        <v>464</v>
      </c>
      <c r="W269" s="667" t="s">
        <v>763</v>
      </c>
      <c r="X269" s="667" t="s">
        <v>764</v>
      </c>
      <c r="Y269" s="667" t="s">
        <v>467</v>
      </c>
      <c r="Z269" s="667"/>
      <c r="AA269" s="667" t="s">
        <v>765</v>
      </c>
      <c r="AB269" s="667"/>
      <c r="AC269" s="667" t="s">
        <v>766</v>
      </c>
      <c r="AD269" s="667"/>
    </row>
    <row r="270" spans="1:31" ht="60" hidden="1">
      <c r="A270" s="646" t="str">
        <f>"PWC"&amp;B270</f>
        <v>PWCFront Bumper</v>
      </c>
      <c r="B270" s="639" t="s">
        <v>767</v>
      </c>
      <c r="C270" s="640">
        <v>3520</v>
      </c>
      <c r="D270" s="640">
        <v>3795</v>
      </c>
      <c r="E270" s="664">
        <v>4230</v>
      </c>
      <c r="F270" s="664">
        <v>4050</v>
      </c>
      <c r="G270" s="664">
        <v>3650</v>
      </c>
      <c r="H270" s="664">
        <v>4350</v>
      </c>
      <c r="I270" s="664">
        <v>4450</v>
      </c>
      <c r="J270" s="664">
        <v>4405</v>
      </c>
      <c r="K270" s="664">
        <v>4405</v>
      </c>
      <c r="L270" s="664">
        <v>4020</v>
      </c>
      <c r="M270" s="664">
        <v>4960</v>
      </c>
      <c r="N270" s="664">
        <v>3920</v>
      </c>
      <c r="O270" s="664">
        <v>4290</v>
      </c>
      <c r="P270" s="664">
        <v>4105</v>
      </c>
      <c r="Q270" s="664">
        <v>4730</v>
      </c>
      <c r="R270" s="664">
        <v>4305</v>
      </c>
      <c r="S270" s="664">
        <v>3650</v>
      </c>
      <c r="T270" s="664">
        <v>3110</v>
      </c>
      <c r="U270" s="664">
        <v>3865</v>
      </c>
      <c r="V270" s="664">
        <v>4195</v>
      </c>
      <c r="W270" s="664">
        <v>4340</v>
      </c>
      <c r="X270" s="664"/>
      <c r="Y270" s="664" t="s">
        <v>476</v>
      </c>
      <c r="Z270" s="664"/>
      <c r="AA270" s="664" t="s">
        <v>476</v>
      </c>
      <c r="AB270" s="664"/>
      <c r="AC270" s="664" t="s">
        <v>476</v>
      </c>
      <c r="AD270" s="664"/>
    </row>
    <row r="271" spans="1:31" ht="60" hidden="1">
      <c r="A271" s="646" t="str">
        <f t="shared" ref="A271:A278" si="32">"PWC"&amp;B271</f>
        <v>PWCRear Bumper</v>
      </c>
      <c r="B271" s="639" t="s">
        <v>768</v>
      </c>
      <c r="C271" s="640">
        <v>3520</v>
      </c>
      <c r="D271" s="640">
        <v>3610</v>
      </c>
      <c r="E271" s="664">
        <v>3730</v>
      </c>
      <c r="F271" s="664">
        <v>4375</v>
      </c>
      <c r="G271" s="664">
        <v>3540</v>
      </c>
      <c r="H271" s="664">
        <v>3930</v>
      </c>
      <c r="I271" s="664">
        <v>4065</v>
      </c>
      <c r="J271" s="664">
        <v>4405</v>
      </c>
      <c r="K271" s="664">
        <v>4405</v>
      </c>
      <c r="L271" s="664">
        <v>3345</v>
      </c>
      <c r="M271" s="664">
        <v>4960</v>
      </c>
      <c r="N271" s="664">
        <v>4815</v>
      </c>
      <c r="O271" s="664">
        <v>4290</v>
      </c>
      <c r="P271" s="664">
        <v>4675</v>
      </c>
      <c r="Q271" s="664">
        <v>5005</v>
      </c>
      <c r="R271" s="664">
        <v>4340</v>
      </c>
      <c r="S271" s="664">
        <v>3840</v>
      </c>
      <c r="T271" s="664">
        <v>3055</v>
      </c>
      <c r="U271" s="664">
        <v>3210</v>
      </c>
      <c r="V271" s="664">
        <v>4195</v>
      </c>
      <c r="W271" s="664">
        <v>4340</v>
      </c>
      <c r="X271" s="664"/>
      <c r="Y271" s="664" t="s">
        <v>476</v>
      </c>
      <c r="Z271" s="665"/>
      <c r="AA271" s="664" t="s">
        <v>476</v>
      </c>
      <c r="AB271" s="665"/>
      <c r="AC271" s="664" t="s">
        <v>476</v>
      </c>
      <c r="AD271" s="665"/>
    </row>
    <row r="272" spans="1:31" ht="30" hidden="1">
      <c r="A272" s="646" t="str">
        <f t="shared" si="32"/>
        <v>PWCBonnet</v>
      </c>
      <c r="B272" s="639" t="s">
        <v>472</v>
      </c>
      <c r="C272" s="640">
        <v>3885</v>
      </c>
      <c r="D272" s="640">
        <v>4330</v>
      </c>
      <c r="E272" s="664">
        <v>3745</v>
      </c>
      <c r="F272" s="664">
        <v>4140</v>
      </c>
      <c r="G272" s="664">
        <v>4000</v>
      </c>
      <c r="H272" s="664">
        <v>3620</v>
      </c>
      <c r="I272" s="664">
        <v>4050</v>
      </c>
      <c r="J272" s="664">
        <v>4390</v>
      </c>
      <c r="K272" s="664">
        <v>4390</v>
      </c>
      <c r="L272" s="664">
        <v>3610</v>
      </c>
      <c r="M272" s="664">
        <v>5940</v>
      </c>
      <c r="N272" s="664">
        <v>4850</v>
      </c>
      <c r="O272" s="664">
        <v>5150</v>
      </c>
      <c r="P272" s="664">
        <v>4930</v>
      </c>
      <c r="Q272" s="664">
        <v>5330</v>
      </c>
      <c r="R272" s="664">
        <v>4530</v>
      </c>
      <c r="S272" s="664">
        <v>4195</v>
      </c>
      <c r="T272" s="664">
        <v>4815</v>
      </c>
      <c r="U272" s="664">
        <v>4185</v>
      </c>
      <c r="V272" s="664">
        <v>4495</v>
      </c>
      <c r="W272" s="664">
        <v>5450</v>
      </c>
      <c r="X272" s="664">
        <v>3610</v>
      </c>
      <c r="Y272" s="664" t="s">
        <v>769</v>
      </c>
      <c r="Z272" s="664">
        <v>4245</v>
      </c>
      <c r="AA272" s="664" t="s">
        <v>769</v>
      </c>
      <c r="AB272" s="664">
        <v>4120</v>
      </c>
      <c r="AC272" s="664" t="s">
        <v>472</v>
      </c>
      <c r="AD272" s="664">
        <v>4940</v>
      </c>
    </row>
    <row r="273" spans="1:30" ht="30" hidden="1">
      <c r="A273" s="646" t="str">
        <f t="shared" si="32"/>
        <v>PWCFender</v>
      </c>
      <c r="B273" s="639" t="s">
        <v>473</v>
      </c>
      <c r="C273" s="640">
        <v>2920</v>
      </c>
      <c r="D273" s="640">
        <v>2875</v>
      </c>
      <c r="E273" s="664">
        <v>2985</v>
      </c>
      <c r="F273" s="664">
        <v>3010</v>
      </c>
      <c r="G273" s="664">
        <v>2930</v>
      </c>
      <c r="H273" s="664">
        <v>2920</v>
      </c>
      <c r="I273" s="664">
        <v>2865</v>
      </c>
      <c r="J273" s="664">
        <v>3055</v>
      </c>
      <c r="K273" s="664">
        <v>3055</v>
      </c>
      <c r="L273" s="664">
        <v>3140</v>
      </c>
      <c r="M273" s="664">
        <v>3175</v>
      </c>
      <c r="N273" s="664">
        <v>3385</v>
      </c>
      <c r="O273" s="664">
        <v>3070</v>
      </c>
      <c r="P273" s="664">
        <v>2830</v>
      </c>
      <c r="Q273" s="664">
        <v>3020</v>
      </c>
      <c r="R273" s="664">
        <v>2930</v>
      </c>
      <c r="S273" s="664">
        <v>2955</v>
      </c>
      <c r="T273" s="664">
        <v>2775</v>
      </c>
      <c r="U273" s="664">
        <v>2810</v>
      </c>
      <c r="V273" s="664">
        <v>3065</v>
      </c>
      <c r="W273" s="664">
        <v>3065</v>
      </c>
      <c r="X273" s="664">
        <v>2855</v>
      </c>
      <c r="Y273" s="664" t="s">
        <v>770</v>
      </c>
      <c r="Z273" s="664">
        <v>3620</v>
      </c>
      <c r="AA273" s="664" t="s">
        <v>770</v>
      </c>
      <c r="AB273" s="664">
        <v>2320</v>
      </c>
      <c r="AC273" s="664" t="s">
        <v>473</v>
      </c>
      <c r="AD273" s="664">
        <v>2775</v>
      </c>
    </row>
    <row r="274" spans="1:30" ht="45" hidden="1">
      <c r="A274" s="646" t="str">
        <f t="shared" si="32"/>
        <v>PWCFront Door</v>
      </c>
      <c r="B274" s="639" t="s">
        <v>770</v>
      </c>
      <c r="C274" s="640">
        <v>3805</v>
      </c>
      <c r="D274" s="640">
        <v>3805</v>
      </c>
      <c r="E274" s="664">
        <v>3805</v>
      </c>
      <c r="F274" s="664">
        <v>4120</v>
      </c>
      <c r="G274" s="664">
        <v>4065</v>
      </c>
      <c r="H274" s="664">
        <v>3950</v>
      </c>
      <c r="I274" s="664">
        <v>4065</v>
      </c>
      <c r="J274" s="664">
        <v>4185</v>
      </c>
      <c r="K274" s="664">
        <v>4185</v>
      </c>
      <c r="L274" s="664">
        <v>3975</v>
      </c>
      <c r="M274" s="664">
        <v>4375</v>
      </c>
      <c r="N274" s="664">
        <v>3965</v>
      </c>
      <c r="O274" s="664">
        <v>4095</v>
      </c>
      <c r="P274" s="664">
        <v>4065</v>
      </c>
      <c r="Q274" s="664">
        <v>4105</v>
      </c>
      <c r="R274" s="664">
        <v>4065</v>
      </c>
      <c r="S274" s="664">
        <v>3995</v>
      </c>
      <c r="T274" s="664">
        <v>4120</v>
      </c>
      <c r="U274" s="664">
        <v>4065</v>
      </c>
      <c r="V274" s="664">
        <v>3750</v>
      </c>
      <c r="W274" s="664">
        <v>4130</v>
      </c>
      <c r="X274" s="664">
        <v>3685</v>
      </c>
      <c r="Y274" s="664" t="s">
        <v>771</v>
      </c>
      <c r="Z274" s="664">
        <v>3740</v>
      </c>
      <c r="AA274" s="664" t="s">
        <v>473</v>
      </c>
      <c r="AB274" s="664">
        <v>3685</v>
      </c>
      <c r="AC274" s="664" t="s">
        <v>770</v>
      </c>
      <c r="AD274" s="664">
        <v>3620</v>
      </c>
    </row>
    <row r="275" spans="1:30" ht="45" hidden="1">
      <c r="A275" s="646" t="str">
        <f t="shared" si="32"/>
        <v>PWCRear Door</v>
      </c>
      <c r="B275" s="639" t="s">
        <v>772</v>
      </c>
      <c r="C275" s="640">
        <v>3805</v>
      </c>
      <c r="D275" s="640">
        <v>3805</v>
      </c>
      <c r="E275" s="664">
        <v>3805</v>
      </c>
      <c r="F275" s="664">
        <v>4420</v>
      </c>
      <c r="G275" s="664">
        <v>4065</v>
      </c>
      <c r="H275" s="664">
        <v>3950</v>
      </c>
      <c r="I275" s="664">
        <v>4065</v>
      </c>
      <c r="J275" s="664">
        <v>4185</v>
      </c>
      <c r="K275" s="664">
        <v>4185</v>
      </c>
      <c r="L275" s="664">
        <v>3975</v>
      </c>
      <c r="M275" s="664">
        <v>4375</v>
      </c>
      <c r="N275" s="664">
        <v>3745</v>
      </c>
      <c r="O275" s="664">
        <v>4095</v>
      </c>
      <c r="P275" s="664">
        <v>3885</v>
      </c>
      <c r="Q275" s="664">
        <v>4105</v>
      </c>
      <c r="R275" s="664">
        <v>3785</v>
      </c>
      <c r="S275" s="664">
        <v>3850</v>
      </c>
      <c r="T275" s="664">
        <v>3875</v>
      </c>
      <c r="U275" s="664">
        <v>3765</v>
      </c>
      <c r="V275" s="664">
        <v>3750</v>
      </c>
      <c r="W275" s="664">
        <v>4130</v>
      </c>
      <c r="X275" s="664">
        <v>3685</v>
      </c>
      <c r="Y275" s="664" t="s">
        <v>773</v>
      </c>
      <c r="Z275" s="664">
        <v>4165</v>
      </c>
      <c r="AA275" s="664"/>
      <c r="AB275" s="664"/>
      <c r="AC275" s="664" t="s">
        <v>774</v>
      </c>
      <c r="AD275" s="664">
        <v>3885</v>
      </c>
    </row>
    <row r="276" spans="1:30" ht="45" hidden="1">
      <c r="A276" s="646" t="str">
        <f t="shared" si="32"/>
        <v>PWCBack Door</v>
      </c>
      <c r="B276" s="639" t="s">
        <v>773</v>
      </c>
      <c r="C276" s="640">
        <v>3795</v>
      </c>
      <c r="D276" s="640">
        <v>3795</v>
      </c>
      <c r="E276" s="664">
        <v>3795</v>
      </c>
      <c r="F276" s="664">
        <v>4460</v>
      </c>
      <c r="G276" s="664">
        <v>4140</v>
      </c>
      <c r="H276" s="664">
        <v>3220</v>
      </c>
      <c r="I276" s="664">
        <v>4140</v>
      </c>
      <c r="J276" s="664">
        <v>3805</v>
      </c>
      <c r="K276" s="664">
        <v>4275</v>
      </c>
      <c r="L276" s="664">
        <v>4020</v>
      </c>
      <c r="M276" s="664">
        <v>4420</v>
      </c>
      <c r="N276" s="664">
        <v>3965</v>
      </c>
      <c r="O276" s="664">
        <v>3950</v>
      </c>
      <c r="P276" s="664">
        <v>4120</v>
      </c>
      <c r="Q276" s="664">
        <v>4440</v>
      </c>
      <c r="R276" s="664">
        <v>3685</v>
      </c>
      <c r="S276" s="664">
        <v>3930</v>
      </c>
      <c r="T276" s="664">
        <v>4405</v>
      </c>
      <c r="U276" s="664">
        <v>4405</v>
      </c>
      <c r="V276" s="664">
        <v>4065</v>
      </c>
      <c r="W276" s="664">
        <v>4175</v>
      </c>
      <c r="X276" s="664">
        <v>3585</v>
      </c>
      <c r="Y276" s="641" t="s">
        <v>474</v>
      </c>
      <c r="Z276" s="664">
        <v>7835</v>
      </c>
      <c r="AA276" s="666"/>
      <c r="AB276" s="666"/>
      <c r="AC276" s="666"/>
      <c r="AD276" s="666"/>
    </row>
    <row r="277" spans="1:30" ht="30" hidden="1">
      <c r="A277" s="646" t="str">
        <f t="shared" si="32"/>
        <v>PWCRoof</v>
      </c>
      <c r="B277" s="647" t="s">
        <v>474</v>
      </c>
      <c r="C277" s="640">
        <v>5760</v>
      </c>
      <c r="D277" s="640">
        <v>5760</v>
      </c>
      <c r="E277" s="664">
        <v>5915</v>
      </c>
      <c r="F277" s="664">
        <v>8315</v>
      </c>
      <c r="G277" s="664">
        <v>6715</v>
      </c>
      <c r="H277" s="664">
        <v>6040</v>
      </c>
      <c r="I277" s="664">
        <v>6350</v>
      </c>
      <c r="J277" s="664">
        <v>5915</v>
      </c>
      <c r="K277" s="664">
        <v>5915</v>
      </c>
      <c r="L277" s="664">
        <v>6325</v>
      </c>
      <c r="M277" s="664">
        <v>6970</v>
      </c>
      <c r="N277" s="664">
        <v>5795</v>
      </c>
      <c r="O277" s="664">
        <v>5870</v>
      </c>
      <c r="P277" s="664">
        <v>5805</v>
      </c>
      <c r="Q277" s="664">
        <v>6980</v>
      </c>
      <c r="R277" s="664">
        <v>6515</v>
      </c>
      <c r="S277" s="664">
        <v>6495</v>
      </c>
      <c r="T277" s="664">
        <v>6005</v>
      </c>
      <c r="U277" s="664">
        <v>6195</v>
      </c>
      <c r="V277" s="664">
        <v>5740</v>
      </c>
      <c r="W277" s="664">
        <v>5460</v>
      </c>
      <c r="X277" s="664">
        <v>5505</v>
      </c>
      <c r="Y277" s="664" t="s">
        <v>475</v>
      </c>
      <c r="Z277" s="664">
        <v>28950</v>
      </c>
      <c r="AA277" s="666"/>
      <c r="AB277" s="665"/>
      <c r="AC277" s="665"/>
      <c r="AD277" s="665"/>
    </row>
    <row r="278" spans="1:30" ht="60" hidden="1">
      <c r="A278" s="646" t="str">
        <f t="shared" si="32"/>
        <v>PWCFull Car Painting</v>
      </c>
      <c r="B278" s="639" t="s">
        <v>475</v>
      </c>
      <c r="C278" s="640">
        <v>36840</v>
      </c>
      <c r="D278" s="640">
        <v>37485</v>
      </c>
      <c r="E278" s="664">
        <v>37760</v>
      </c>
      <c r="F278" s="664">
        <v>42460</v>
      </c>
      <c r="G278" s="664">
        <v>38770</v>
      </c>
      <c r="H278" s="664">
        <v>37905</v>
      </c>
      <c r="I278" s="664">
        <v>39625</v>
      </c>
      <c r="J278" s="664">
        <v>40415</v>
      </c>
      <c r="K278" s="664">
        <v>40770</v>
      </c>
      <c r="L278" s="664">
        <v>38850</v>
      </c>
      <c r="M278" s="664">
        <v>44765</v>
      </c>
      <c r="N278" s="664">
        <v>39940</v>
      </c>
      <c r="O278" s="664">
        <v>39620</v>
      </c>
      <c r="P278" s="664">
        <v>39350</v>
      </c>
      <c r="Q278" s="664">
        <v>42370</v>
      </c>
      <c r="R278" s="664">
        <v>39595</v>
      </c>
      <c r="S278" s="664">
        <v>38585</v>
      </c>
      <c r="T278" s="664">
        <v>37830</v>
      </c>
      <c r="U278" s="664">
        <v>38040</v>
      </c>
      <c r="V278" s="664">
        <v>38050</v>
      </c>
      <c r="W278" s="664">
        <v>42145</v>
      </c>
      <c r="X278" s="664">
        <v>30250</v>
      </c>
      <c r="Y278" s="664"/>
      <c r="Z278" s="664"/>
      <c r="AA278" s="666"/>
      <c r="AB278" s="665"/>
      <c r="AC278" s="665"/>
      <c r="AD278" s="665"/>
    </row>
    <row r="280" spans="1:30" ht="7.5" customHeight="1"/>
  </sheetData>
  <sheetProtection sheet="1" formatCells="0" formatColumns="0" formatRows="0" insertColumns="0" insertRows="0" insertHyperlinks="0" deleteColumns="0" deleteRows="0" sort="0" autoFilter="0" pivotTables="0"/>
  <mergeCells count="33">
    <mergeCell ref="D1:I1"/>
    <mergeCell ref="D2:I2"/>
    <mergeCell ref="A4:B4"/>
    <mergeCell ref="A8:B8"/>
    <mergeCell ref="AD218:AE219"/>
    <mergeCell ref="AD217:AE217"/>
    <mergeCell ref="N90:P90"/>
    <mergeCell ref="R90:S90"/>
    <mergeCell ref="U90:V90"/>
    <mergeCell ref="B100:K100"/>
    <mergeCell ref="C116:D116"/>
    <mergeCell ref="G40:I40"/>
    <mergeCell ref="B42:X42"/>
    <mergeCell ref="C26:D26"/>
    <mergeCell ref="C32:E32"/>
    <mergeCell ref="C27:E27"/>
    <mergeCell ref="C28:E28"/>
    <mergeCell ref="C29:E29"/>
    <mergeCell ref="C30:E30"/>
    <mergeCell ref="C31:E31"/>
    <mergeCell ref="A7:B7"/>
    <mergeCell ref="G7:I7"/>
    <mergeCell ref="G8:I8"/>
    <mergeCell ref="A9:B9"/>
    <mergeCell ref="G9:I9"/>
    <mergeCell ref="A10:B10"/>
    <mergeCell ref="G10:I10"/>
    <mergeCell ref="A3:B3"/>
    <mergeCell ref="A5:B5"/>
    <mergeCell ref="G6:I6"/>
    <mergeCell ref="A6:B6"/>
    <mergeCell ref="F3:I3"/>
    <mergeCell ref="F4:I5"/>
  </mergeCells>
  <conditionalFormatting sqref="B34:I34">
    <cfRule type="expression" dxfId="7" priority="8">
      <formula>AND($C$5&lt;&gt;"Alankar")</formula>
    </cfRule>
  </conditionalFormatting>
  <conditionalFormatting sqref="C27:C31">
    <cfRule type="expression" dxfId="6" priority="7">
      <formula>AND(B27 &lt;&gt; "Others")</formula>
    </cfRule>
  </conditionalFormatting>
  <conditionalFormatting sqref="C28">
    <cfRule type="expression" dxfId="5" priority="6">
      <formula>AND(B28 &lt;&gt; "Others")</formula>
    </cfRule>
  </conditionalFormatting>
  <conditionalFormatting sqref="C29">
    <cfRule type="expression" dxfId="4" priority="5">
      <formula>AND(B29 &lt;&gt; "Others")</formula>
    </cfRule>
  </conditionalFormatting>
  <conditionalFormatting sqref="C30">
    <cfRule type="expression" dxfId="3" priority="4">
      <formula>AND(B30 &lt;&gt; "Others")</formula>
    </cfRule>
  </conditionalFormatting>
  <conditionalFormatting sqref="C31">
    <cfRule type="expression" dxfId="2" priority="3">
      <formula>AND(B31 &lt;&gt; "Others")</formula>
    </cfRule>
  </conditionalFormatting>
  <conditionalFormatting sqref="E12:E25">
    <cfRule type="expression" dxfId="1" priority="2">
      <formula>AND($C$8="System")</formula>
    </cfRule>
  </conditionalFormatting>
  <conditionalFormatting sqref="D12:D25">
    <cfRule type="expression" dxfId="0" priority="1">
      <formula>AND($C$8&lt;&gt;"System")</formula>
    </cfRule>
  </conditionalFormatting>
  <dataValidations count="13">
    <dataValidation type="list" allowBlank="1" showInputMessage="1" showErrorMessage="1" sqref="A27:A31">
      <formula1>"LH,RH,FR,RR,LH FR, LH RR, RH FR, RH RR"</formula1>
    </dataValidation>
    <dataValidation type="list" allowBlank="1" showInputMessage="1" showErrorMessage="1" sqref="J11">
      <formula1>"1+1"</formula1>
    </dataValidation>
    <dataValidation type="list" allowBlank="1" showInputMessage="1" showErrorMessage="1" sqref="B27:B31">
      <formula1>"Select, Running Board, OVRM, Others"</formula1>
    </dataValidation>
    <dataValidation type="list" allowBlank="1" showInputMessage="1" showErrorMessage="1" sqref="C5">
      <formula1>$H$62:$H$70</formula1>
    </dataValidation>
    <dataValidation type="list" allowBlank="1" showInputMessage="1" showErrorMessage="1" sqref="C12:C25">
      <formula1>IF(B12="Select",$K$57:$K$57,$K$58:$K$60)</formula1>
    </dataValidation>
    <dataValidation type="custom" allowBlank="1" showInputMessage="1" showErrorMessage="1" error="Enter the Panel Name Only for OTHERS" sqref="C27:C31">
      <formula1>AND(B27="Others")</formula1>
    </dataValidation>
    <dataValidation type="list" allowBlank="1" showInputMessage="1" showErrorMessage="1" sqref="C4">
      <formula1>"A1,A2,B,C"</formula1>
    </dataValidation>
    <dataValidation type="list" allowBlank="1" showInputMessage="1" showErrorMessage="1" sqref="B13:B25">
      <formula1>$B$45:$B$54</formula1>
    </dataValidation>
    <dataValidation type="list" allowBlank="1" showInputMessage="1" showErrorMessage="1" sqref="C8">
      <formula1>"System,Manual"</formula1>
    </dataValidation>
    <dataValidation type="list" allowBlank="1" showInputMessage="1" showErrorMessage="1" sqref="A12:A25">
      <formula1>"LH,RH,FR,RR,"</formula1>
    </dataValidation>
    <dataValidation type="list" allowBlank="1" showInputMessage="1" showErrorMessage="1" sqref="C6">
      <formula1>$C$44:$X$44</formula1>
    </dataValidation>
    <dataValidation type="list" allowBlank="1" showInputMessage="1" showErrorMessage="1" sqref="C7">
      <formula1>$H$57:$H$59</formula1>
    </dataValidation>
    <dataValidation type="list" allowBlank="1" showInputMessage="1" showErrorMessage="1" sqref="B12">
      <formula1>$B$57:$B$67</formula1>
    </dataValidation>
  </dataValidations>
  <printOptions horizontalCentered="1" verticalCentered="1"/>
  <pageMargins left="0.55118110236220497" right="0.43307086614173201" top="0.74803149606299202" bottom="0.74803149606299202" header="0.31496062992126" footer="0.31496062992126"/>
  <pageSetup paperSize="9" scale="76" orientation="portrait" r:id="rId1"/>
  <headerFooter>
    <oddFooter>&amp;LVer 4.0.1&amp;RFor National Insurance Use only</oddFooter>
  </headerFooter>
  <drawing r:id="rId2"/>
</worksheet>
</file>

<file path=xl/worksheets/sheet11.xml><?xml version="1.0" encoding="utf-8"?>
<worksheet xmlns="http://schemas.openxmlformats.org/spreadsheetml/2006/main" xmlns:r="http://schemas.openxmlformats.org/officeDocument/2006/relationships">
  <sheetPr codeName="Sheet10">
    <pageSetUpPr fitToPage="1"/>
  </sheetPr>
  <dimension ref="A1:R131"/>
  <sheetViews>
    <sheetView topLeftCell="A52" workbookViewId="0">
      <selection activeCell="D18" sqref="D18:F18"/>
    </sheetView>
  </sheetViews>
  <sheetFormatPr defaultRowHeight="12" customHeight="1"/>
  <cols>
    <col min="1" max="1" width="5.7109375" style="79" customWidth="1"/>
    <col min="2" max="2" width="21.28515625" style="79" customWidth="1"/>
    <col min="3" max="3" width="16.28515625" style="79" customWidth="1"/>
    <col min="4" max="4" width="12.7109375" style="79" customWidth="1"/>
    <col min="5" max="5" width="16.7109375" style="79" customWidth="1"/>
    <col min="6" max="6" width="16.28515625" style="79" customWidth="1"/>
    <col min="7" max="16384" width="9.140625" style="79"/>
  </cols>
  <sheetData>
    <row r="1" spans="1:18" ht="29.25" customHeight="1">
      <c r="A1" s="1607" t="str">
        <f>'Data Entry'!$B$60</f>
        <v>Dilip Kumar Sinha</v>
      </c>
      <c r="B1" s="1607"/>
      <c r="C1" s="1607"/>
      <c r="D1" s="38"/>
      <c r="E1" s="1605" t="str">
        <f>'Data Entry'!$B$61</f>
        <v>V/477, Vidyapuri, Kankarbagh, Patna-800020</v>
      </c>
      <c r="F1" s="1605"/>
    </row>
    <row r="2" spans="1:18" ht="12" customHeight="1">
      <c r="A2" s="1606" t="s">
        <v>40</v>
      </c>
      <c r="B2" s="1606"/>
      <c r="C2" s="1606"/>
      <c r="D2" s="60"/>
      <c r="E2" s="60" t="s">
        <v>77</v>
      </c>
      <c r="F2" s="80">
        <f>'Data Entry'!$B$63</f>
        <v>9334110636</v>
      </c>
    </row>
    <row r="3" spans="1:18" ht="12" customHeight="1">
      <c r="A3" s="1606" t="s">
        <v>78</v>
      </c>
      <c r="B3" s="1606"/>
      <c r="C3" s="1606">
        <f>'Data Entry'!$B$66</f>
        <v>63315</v>
      </c>
      <c r="D3" s="1606"/>
      <c r="E3" s="60" t="s">
        <v>80</v>
      </c>
      <c r="F3" s="61">
        <f>'Data Entry'!$B$67</f>
        <v>46469</v>
      </c>
    </row>
    <row r="4" spans="1:18" ht="12" customHeight="1">
      <c r="A4" s="1606" t="s">
        <v>81</v>
      </c>
      <c r="B4" s="1606"/>
      <c r="C4" s="1606" t="str">
        <f>'Data Entry'!$B$65</f>
        <v>dilipsinha11k@gmail.com</v>
      </c>
      <c r="D4" s="1606"/>
      <c r="E4" s="60" t="s">
        <v>79</v>
      </c>
      <c r="F4" s="80">
        <f>'Data Entry'!$B$64</f>
        <v>0</v>
      </c>
    </row>
    <row r="5" spans="1:18" ht="15.75" customHeight="1">
      <c r="A5" s="1608" t="s">
        <v>219</v>
      </c>
      <c r="B5" s="1608"/>
      <c r="C5" s="1608"/>
      <c r="D5" s="1608"/>
      <c r="E5" s="1608"/>
      <c r="F5" s="1608"/>
    </row>
    <row r="6" spans="1:18" ht="12" customHeight="1" thickBot="1">
      <c r="A6" s="51"/>
      <c r="B6" s="51"/>
      <c r="C6" s="51"/>
      <c r="D6" s="51"/>
      <c r="E6" s="51"/>
      <c r="F6" s="51"/>
    </row>
    <row r="7" spans="1:18" ht="12" customHeight="1" thickBot="1">
      <c r="A7" s="1609" t="s">
        <v>82</v>
      </c>
      <c r="B7" s="1609"/>
      <c r="C7" s="1589" t="s">
        <v>46</v>
      </c>
      <c r="D7" s="1590"/>
      <c r="E7" s="766" t="s">
        <v>84</v>
      </c>
      <c r="F7" s="62">
        <f>'Data Entry'!$B$4</f>
        <v>0</v>
      </c>
    </row>
    <row r="8" spans="1:18" ht="12" customHeight="1" thickBot="1">
      <c r="A8" s="1610" t="s">
        <v>83</v>
      </c>
      <c r="B8" s="1610"/>
      <c r="C8" s="1591" t="str">
        <f>'Data Entry'!$B$5</f>
        <v xml:space="preserve">Mr. </v>
      </c>
      <c r="D8" s="1592"/>
      <c r="E8" s="766" t="str">
        <f>'Data Entry'!$A$3</f>
        <v xml:space="preserve"> CLAIM NUMBER</v>
      </c>
      <c r="F8" s="62">
        <f>'Data Entry'!$B$3</f>
        <v>0</v>
      </c>
    </row>
    <row r="9" spans="1:18" ht="12" customHeight="1" thickBot="1">
      <c r="A9" s="1609" t="s">
        <v>73</v>
      </c>
      <c r="B9" s="1609"/>
      <c r="C9" s="63">
        <f>'Data Entry'!$B$10</f>
        <v>0</v>
      </c>
      <c r="D9" s="64">
        <f>'Data Entry'!$D$10</f>
        <v>0</v>
      </c>
      <c r="E9" s="767" t="s">
        <v>72</v>
      </c>
      <c r="F9" s="62">
        <f>'Data Entry'!$B$18</f>
        <v>0</v>
      </c>
    </row>
    <row r="10" spans="1:18" ht="12" customHeight="1">
      <c r="A10" s="51"/>
      <c r="B10" s="51"/>
      <c r="C10" s="51"/>
      <c r="D10" s="51"/>
      <c r="E10" s="51"/>
      <c r="F10" s="51"/>
      <c r="H10" s="1586" t="s">
        <v>531</v>
      </c>
      <c r="I10" s="1586"/>
      <c r="J10" s="1586"/>
      <c r="K10" s="1586"/>
      <c r="L10" s="1586"/>
      <c r="M10" s="1586"/>
      <c r="N10" s="1586"/>
      <c r="O10" s="1586"/>
      <c r="P10" s="1586"/>
      <c r="Q10" s="1586"/>
      <c r="R10" s="1586"/>
    </row>
    <row r="11" spans="1:18" ht="12" customHeight="1">
      <c r="A11" s="1593" t="s">
        <v>140</v>
      </c>
      <c r="B11" s="1593"/>
      <c r="C11" s="1593"/>
      <c r="D11" s="773">
        <f>$F$9</f>
        <v>0</v>
      </c>
      <c r="E11" s="84" t="s">
        <v>141</v>
      </c>
      <c r="F11" s="774">
        <f>'Data Entry'!$B$51</f>
        <v>0</v>
      </c>
      <c r="H11" s="1586"/>
      <c r="I11" s="1586"/>
      <c r="J11" s="1586"/>
      <c r="K11" s="1586"/>
      <c r="L11" s="1586"/>
      <c r="M11" s="1586"/>
      <c r="N11" s="1586"/>
      <c r="O11" s="1586"/>
      <c r="P11" s="1586"/>
      <c r="Q11" s="1586"/>
      <c r="R11" s="1586"/>
    </row>
    <row r="12" spans="1:18" ht="12" customHeight="1">
      <c r="A12" s="1602" t="s">
        <v>168</v>
      </c>
      <c r="B12" s="1602"/>
      <c r="C12" s="1602"/>
      <c r="D12" s="1602"/>
      <c r="E12" s="1602"/>
      <c r="F12" s="1602"/>
      <c r="H12" s="1586"/>
      <c r="I12" s="1586"/>
      <c r="J12" s="1586"/>
      <c r="K12" s="1586"/>
      <c r="L12" s="1586"/>
      <c r="M12" s="1586"/>
      <c r="N12" s="1586"/>
      <c r="O12" s="1586"/>
      <c r="P12" s="1586"/>
      <c r="Q12" s="1586"/>
      <c r="R12" s="1586"/>
    </row>
    <row r="13" spans="1:18" ht="12" customHeight="1">
      <c r="A13" s="1593" t="s">
        <v>169</v>
      </c>
      <c r="B13" s="1593"/>
      <c r="C13" s="1593"/>
      <c r="D13" s="1593"/>
      <c r="E13" s="1593"/>
      <c r="F13" s="1593"/>
      <c r="H13" s="1586"/>
      <c r="I13" s="1586"/>
      <c r="J13" s="1586"/>
      <c r="K13" s="1586"/>
      <c r="L13" s="1586"/>
      <c r="M13" s="1586"/>
      <c r="N13" s="1586"/>
      <c r="O13" s="1586"/>
      <c r="P13" s="1586"/>
      <c r="Q13" s="1586"/>
      <c r="R13" s="1586"/>
    </row>
    <row r="14" spans="1:18" ht="12" customHeight="1">
      <c r="A14" s="1593" t="s">
        <v>751</v>
      </c>
      <c r="B14" s="1593"/>
      <c r="C14" s="1593"/>
      <c r="D14" s="1593"/>
      <c r="E14" s="1593"/>
      <c r="F14" s="1593"/>
    </row>
    <row r="15" spans="1:18" ht="12" customHeight="1">
      <c r="A15" s="1593" t="s">
        <v>170</v>
      </c>
      <c r="B15" s="1593"/>
      <c r="C15" s="1593"/>
      <c r="D15" s="1593"/>
      <c r="E15" s="1593"/>
      <c r="F15" s="1593"/>
    </row>
    <row r="16" spans="1:18" ht="12" customHeight="1">
      <c r="A16" s="65"/>
      <c r="B16" s="65"/>
      <c r="C16" s="65"/>
      <c r="D16" s="65"/>
      <c r="E16" s="65"/>
      <c r="F16" s="65"/>
    </row>
    <row r="17" spans="1:6" ht="50.25" customHeight="1">
      <c r="A17" s="768" t="s">
        <v>21</v>
      </c>
      <c r="B17" s="769" t="s">
        <v>718</v>
      </c>
      <c r="C17" s="762" t="s">
        <v>218</v>
      </c>
      <c r="D17" s="762" t="s">
        <v>164</v>
      </c>
      <c r="E17" s="762" t="s">
        <v>165</v>
      </c>
      <c r="F17" s="770" t="s">
        <v>166</v>
      </c>
    </row>
    <row r="18" spans="1:6" ht="12" customHeight="1">
      <c r="A18" s="82">
        <v>1</v>
      </c>
      <c r="B18" s="81" t="str">
        <f>IF('Assessment Sheet'!B81&lt;&gt;"",'Assessment Sheet'!B81,"")</f>
        <v/>
      </c>
      <c r="C18" s="56" t="str">
        <f>IF('Assessment Sheet'!F81&lt;&gt;"",'Assessment Sheet'!F81,"")</f>
        <v/>
      </c>
      <c r="D18" s="771" t="s">
        <v>148</v>
      </c>
      <c r="E18" s="771" t="s">
        <v>148</v>
      </c>
      <c r="F18" s="772" t="s">
        <v>148</v>
      </c>
    </row>
    <row r="19" spans="1:6" ht="12" customHeight="1">
      <c r="A19" s="82">
        <v>2</v>
      </c>
      <c r="B19" s="81" t="str">
        <f>IF('Assessment Sheet'!B82&lt;&gt;"",'Assessment Sheet'!B82,"")</f>
        <v/>
      </c>
      <c r="C19" s="56" t="str">
        <f>IF('Assessment Sheet'!F82&lt;&gt;"",'Assessment Sheet'!F82,"")</f>
        <v/>
      </c>
      <c r="D19" s="771"/>
      <c r="E19" s="771"/>
      <c r="F19" s="772"/>
    </row>
    <row r="20" spans="1:6" ht="12" customHeight="1">
      <c r="A20" s="82">
        <v>3</v>
      </c>
      <c r="B20" s="81" t="str">
        <f>IF('Assessment Sheet'!B83&lt;&gt;"",'Assessment Sheet'!B83,"")</f>
        <v/>
      </c>
      <c r="C20" s="56" t="str">
        <f>IF('Assessment Sheet'!F83&lt;&gt;"",'Assessment Sheet'!F83,"")</f>
        <v/>
      </c>
      <c r="D20" s="771"/>
      <c r="E20" s="771"/>
      <c r="F20" s="772"/>
    </row>
    <row r="21" spans="1:6" ht="12" customHeight="1">
      <c r="A21" s="82">
        <v>4</v>
      </c>
      <c r="B21" s="81" t="str">
        <f>IF('Assessment Sheet'!B84&lt;&gt;"",'Assessment Sheet'!B84,"")</f>
        <v/>
      </c>
      <c r="C21" s="56" t="str">
        <f>IF('Assessment Sheet'!F84&lt;&gt;"",'Assessment Sheet'!F84,"")</f>
        <v/>
      </c>
      <c r="D21" s="771"/>
      <c r="E21" s="771"/>
      <c r="F21" s="772"/>
    </row>
    <row r="22" spans="1:6" ht="12" customHeight="1">
      <c r="A22" s="82">
        <v>5</v>
      </c>
      <c r="B22" s="81" t="str">
        <f>IF('Assessment Sheet'!B85&lt;&gt;"",'Assessment Sheet'!B85,"")</f>
        <v/>
      </c>
      <c r="C22" s="56" t="str">
        <f>IF('Assessment Sheet'!F85&lt;&gt;"",'Assessment Sheet'!F85,"")</f>
        <v/>
      </c>
      <c r="D22" s="771"/>
      <c r="E22" s="771"/>
      <c r="F22" s="772"/>
    </row>
    <row r="23" spans="1:6" ht="12" customHeight="1">
      <c r="A23" s="82">
        <v>6</v>
      </c>
      <c r="B23" s="81" t="str">
        <f>IF('Assessment Sheet'!B86&lt;&gt;"",'Assessment Sheet'!B86,"")</f>
        <v/>
      </c>
      <c r="C23" s="56" t="str">
        <f>IF('Assessment Sheet'!F86&lt;&gt;"",'Assessment Sheet'!F86,"")</f>
        <v/>
      </c>
      <c r="D23" s="771"/>
      <c r="E23" s="771"/>
      <c r="F23" s="772"/>
    </row>
    <row r="24" spans="1:6" ht="12" customHeight="1">
      <c r="A24" s="82">
        <v>7</v>
      </c>
      <c r="B24" s="81" t="str">
        <f>IF('Assessment Sheet'!B87&lt;&gt;"",'Assessment Sheet'!B87,"")</f>
        <v/>
      </c>
      <c r="C24" s="56" t="str">
        <f>IF('Assessment Sheet'!F87&lt;&gt;"",'Assessment Sheet'!F87,"")</f>
        <v/>
      </c>
      <c r="D24" s="771"/>
      <c r="E24" s="771"/>
      <c r="F24" s="772"/>
    </row>
    <row r="25" spans="1:6" ht="12" customHeight="1">
      <c r="A25" s="82">
        <v>8</v>
      </c>
      <c r="B25" s="81" t="str">
        <f>IF('Assessment Sheet'!B88&lt;&gt;"",'Assessment Sheet'!B88,"")</f>
        <v/>
      </c>
      <c r="C25" s="56" t="str">
        <f>IF('Assessment Sheet'!F88&lt;&gt;"",'Assessment Sheet'!F88,"")</f>
        <v/>
      </c>
      <c r="D25" s="771"/>
      <c r="E25" s="771"/>
      <c r="F25" s="772"/>
    </row>
    <row r="26" spans="1:6" ht="12" customHeight="1">
      <c r="A26" s="82">
        <v>9</v>
      </c>
      <c r="B26" s="81" t="str">
        <f>IF('Assessment Sheet'!B89&lt;&gt;"",'Assessment Sheet'!B89,"")</f>
        <v/>
      </c>
      <c r="C26" s="56" t="str">
        <f>IF('Assessment Sheet'!F89&lt;&gt;"",'Assessment Sheet'!F89,"")</f>
        <v/>
      </c>
      <c r="D26" s="771"/>
      <c r="E26" s="771"/>
      <c r="F26" s="772"/>
    </row>
    <row r="27" spans="1:6" ht="12" customHeight="1">
      <c r="A27" s="82">
        <v>10</v>
      </c>
      <c r="B27" s="81" t="str">
        <f>IF('Assessment Sheet'!B90&lt;&gt;"",'Assessment Sheet'!B90,"")</f>
        <v/>
      </c>
      <c r="C27" s="56" t="str">
        <f>IF('Assessment Sheet'!F90&lt;&gt;"",'Assessment Sheet'!F90,"")</f>
        <v/>
      </c>
      <c r="D27" s="771"/>
      <c r="E27" s="771"/>
      <c r="F27" s="772"/>
    </row>
    <row r="28" spans="1:6" ht="12" customHeight="1">
      <c r="A28" s="82">
        <v>11</v>
      </c>
      <c r="B28" s="81" t="str">
        <f>IF('Assessment Sheet'!B91&lt;&gt;"",'Assessment Sheet'!B91,"")</f>
        <v/>
      </c>
      <c r="C28" s="56" t="str">
        <f>IF('Assessment Sheet'!F91&lt;&gt;"",'Assessment Sheet'!F91,"")</f>
        <v/>
      </c>
      <c r="D28" s="771"/>
      <c r="E28" s="771"/>
      <c r="F28" s="772"/>
    </row>
    <row r="29" spans="1:6" ht="12" customHeight="1">
      <c r="A29" s="82">
        <v>12</v>
      </c>
      <c r="B29" s="81" t="str">
        <f>IF('Assessment Sheet'!B92&lt;&gt;"",'Assessment Sheet'!B92,"")</f>
        <v/>
      </c>
      <c r="C29" s="56" t="str">
        <f>IF('Assessment Sheet'!F92&lt;&gt;"",'Assessment Sheet'!F92,"")</f>
        <v/>
      </c>
      <c r="D29" s="771"/>
      <c r="E29" s="771"/>
      <c r="F29" s="772"/>
    </row>
    <row r="30" spans="1:6" ht="12" customHeight="1">
      <c r="A30" s="82">
        <v>13</v>
      </c>
      <c r="B30" s="81" t="str">
        <f>IF('Assessment Sheet'!B93&lt;&gt;"",'Assessment Sheet'!B93,"")</f>
        <v/>
      </c>
      <c r="C30" s="56" t="str">
        <f>IF('Assessment Sheet'!F93&lt;&gt;"",'Assessment Sheet'!F93,"")</f>
        <v/>
      </c>
      <c r="D30" s="771"/>
      <c r="E30" s="771"/>
      <c r="F30" s="772"/>
    </row>
    <row r="31" spans="1:6" ht="12" customHeight="1">
      <c r="A31" s="82">
        <v>14</v>
      </c>
      <c r="B31" s="81" t="str">
        <f>IF('Assessment Sheet'!B94&lt;&gt;"",'Assessment Sheet'!B94,"")</f>
        <v/>
      </c>
      <c r="C31" s="56" t="str">
        <f>IF('Assessment Sheet'!F94&lt;&gt;"",'Assessment Sheet'!F94,"")</f>
        <v/>
      </c>
      <c r="D31" s="771"/>
      <c r="E31" s="771"/>
      <c r="F31" s="772"/>
    </row>
    <row r="32" spans="1:6">
      <c r="A32" s="82">
        <v>15</v>
      </c>
      <c r="B32" s="81" t="str">
        <f>IF('Assessment Sheet'!B95&lt;&gt;"",'Assessment Sheet'!B95,"")</f>
        <v/>
      </c>
      <c r="C32" s="56" t="str">
        <f>IF('Assessment Sheet'!F95&lt;&gt;"",'Assessment Sheet'!F95,"")</f>
        <v/>
      </c>
      <c r="D32" s="771"/>
      <c r="E32" s="771"/>
      <c r="F32" s="772"/>
    </row>
    <row r="33" spans="1:6">
      <c r="A33" s="82">
        <v>16</v>
      </c>
      <c r="B33" s="81" t="str">
        <f>IF('Assessment Sheet'!B96&lt;&gt;"",'Assessment Sheet'!B96,"")</f>
        <v/>
      </c>
      <c r="C33" s="56" t="str">
        <f>IF('Assessment Sheet'!F96&lt;&gt;"",'Assessment Sheet'!F96,"")</f>
        <v/>
      </c>
      <c r="D33" s="771"/>
      <c r="E33" s="771"/>
      <c r="F33" s="772"/>
    </row>
    <row r="34" spans="1:6">
      <c r="A34" s="82">
        <v>17</v>
      </c>
      <c r="B34" s="81" t="str">
        <f>IF('Assessment Sheet'!B97&lt;&gt;"",'Assessment Sheet'!B97,"")</f>
        <v/>
      </c>
      <c r="C34" s="56" t="str">
        <f>IF('Assessment Sheet'!F97&lt;&gt;"",'Assessment Sheet'!F97,"")</f>
        <v/>
      </c>
      <c r="D34" s="771"/>
      <c r="E34" s="771"/>
      <c r="F34" s="772"/>
    </row>
    <row r="35" spans="1:6">
      <c r="A35" s="82">
        <v>18</v>
      </c>
      <c r="B35" s="81" t="str">
        <f>IF('Assessment Sheet'!B98&lt;&gt;"",'Assessment Sheet'!B98,"")</f>
        <v/>
      </c>
      <c r="C35" s="56" t="str">
        <f>IF('Assessment Sheet'!F98&lt;&gt;"",'Assessment Sheet'!F98,"")</f>
        <v/>
      </c>
      <c r="D35" s="771"/>
      <c r="E35" s="771"/>
      <c r="F35" s="772"/>
    </row>
    <row r="36" spans="1:6">
      <c r="A36" s="82">
        <v>19</v>
      </c>
      <c r="B36" s="81" t="str">
        <f>IF('Assessment Sheet'!B99&lt;&gt;"",'Assessment Sheet'!B99,"")</f>
        <v/>
      </c>
      <c r="C36" s="56" t="str">
        <f>IF('Assessment Sheet'!F99&lt;&gt;"",'Assessment Sheet'!F99,"")</f>
        <v/>
      </c>
      <c r="D36" s="771"/>
      <c r="E36" s="771"/>
      <c r="F36" s="772"/>
    </row>
    <row r="37" spans="1:6">
      <c r="A37" s="82">
        <v>20</v>
      </c>
      <c r="B37" s="81" t="str">
        <f>IF('Assessment Sheet'!B100&lt;&gt;"",'Assessment Sheet'!B100,"")</f>
        <v/>
      </c>
      <c r="C37" s="56" t="str">
        <f>IF('Assessment Sheet'!F100&lt;&gt;"",'Assessment Sheet'!F100,"")</f>
        <v/>
      </c>
      <c r="D37" s="771"/>
      <c r="E37" s="771"/>
      <c r="F37" s="772"/>
    </row>
    <row r="38" spans="1:6">
      <c r="A38" s="82">
        <v>21</v>
      </c>
      <c r="B38" s="81" t="str">
        <f>IF('Assessment Sheet'!B101&lt;&gt;"",'Assessment Sheet'!B101,"")</f>
        <v/>
      </c>
      <c r="C38" s="56" t="str">
        <f>IF('Assessment Sheet'!F101&lt;&gt;"",'Assessment Sheet'!F101,"")</f>
        <v/>
      </c>
      <c r="D38" s="771"/>
      <c r="E38" s="771"/>
      <c r="F38" s="772"/>
    </row>
    <row r="39" spans="1:6">
      <c r="A39" s="82">
        <v>22</v>
      </c>
      <c r="B39" s="81" t="str">
        <f>IF('Assessment Sheet'!B102&lt;&gt;"",'Assessment Sheet'!B102,"")</f>
        <v/>
      </c>
      <c r="C39" s="56" t="str">
        <f>IF('Assessment Sheet'!F102&lt;&gt;"",'Assessment Sheet'!F102,"")</f>
        <v/>
      </c>
      <c r="D39" s="771"/>
      <c r="E39" s="771"/>
      <c r="F39" s="772"/>
    </row>
    <row r="40" spans="1:6">
      <c r="A40" s="82">
        <v>23</v>
      </c>
      <c r="B40" s="81" t="str">
        <f>IF('Assessment Sheet'!B103&lt;&gt;"",'Assessment Sheet'!B103,"")</f>
        <v/>
      </c>
      <c r="C40" s="56" t="str">
        <f>IF('Assessment Sheet'!F103&lt;&gt;"",'Assessment Sheet'!F103,"")</f>
        <v/>
      </c>
      <c r="D40" s="771"/>
      <c r="E40" s="771"/>
      <c r="F40" s="772"/>
    </row>
    <row r="41" spans="1:6">
      <c r="A41" s="82">
        <v>24</v>
      </c>
      <c r="B41" s="81" t="str">
        <f>IF('Assessment Sheet'!B104&lt;&gt;"",'Assessment Sheet'!B104,"")</f>
        <v/>
      </c>
      <c r="C41" s="56" t="str">
        <f>IF('Assessment Sheet'!F104&lt;&gt;"",'Assessment Sheet'!F104,"")</f>
        <v/>
      </c>
      <c r="D41" s="771"/>
      <c r="E41" s="771"/>
      <c r="F41" s="772"/>
    </row>
    <row r="42" spans="1:6">
      <c r="A42" s="82">
        <v>25</v>
      </c>
      <c r="B42" s="81" t="str">
        <f>IF('Assessment Sheet'!B105&lt;&gt;"",'Assessment Sheet'!B105,"")</f>
        <v/>
      </c>
      <c r="C42" s="56" t="str">
        <f>IF('Assessment Sheet'!F105&lt;&gt;"",'Assessment Sheet'!F105,"")</f>
        <v/>
      </c>
      <c r="D42" s="771"/>
      <c r="E42" s="771"/>
      <c r="F42" s="772"/>
    </row>
    <row r="43" spans="1:6">
      <c r="A43" s="82">
        <v>26</v>
      </c>
      <c r="B43" s="81" t="str">
        <f>IF('Assessment Sheet'!B106&lt;&gt;"",'Assessment Sheet'!B106,"")</f>
        <v/>
      </c>
      <c r="C43" s="56" t="str">
        <f>IF('Assessment Sheet'!F106&lt;&gt;"",'Assessment Sheet'!F106,"")</f>
        <v/>
      </c>
      <c r="D43" s="771"/>
      <c r="E43" s="771"/>
      <c r="F43" s="772"/>
    </row>
    <row r="44" spans="1:6">
      <c r="A44" s="82">
        <v>27</v>
      </c>
      <c r="B44" s="81" t="str">
        <f>IF('Assessment Sheet'!B107&lt;&gt;"",'Assessment Sheet'!B107,"")</f>
        <v/>
      </c>
      <c r="C44" s="56" t="str">
        <f>IF('Assessment Sheet'!F107&lt;&gt;"",'Assessment Sheet'!F107,"")</f>
        <v/>
      </c>
      <c r="D44" s="771"/>
      <c r="E44" s="771"/>
      <c r="F44" s="772"/>
    </row>
    <row r="45" spans="1:6">
      <c r="A45" s="82">
        <v>28</v>
      </c>
      <c r="B45" s="81" t="str">
        <f>IF('Assessment Sheet'!B108&lt;&gt;"",'Assessment Sheet'!B108,"")</f>
        <v/>
      </c>
      <c r="C45" s="56" t="str">
        <f>IF('Assessment Sheet'!F108&lt;&gt;"",'Assessment Sheet'!F108,"")</f>
        <v/>
      </c>
      <c r="D45" s="771"/>
      <c r="E45" s="771"/>
      <c r="F45" s="772"/>
    </row>
    <row r="46" spans="1:6">
      <c r="A46" s="82">
        <v>29</v>
      </c>
      <c r="B46" s="81" t="str">
        <f>IF('Assessment Sheet'!B109&lt;&gt;"",'Assessment Sheet'!B109,"")</f>
        <v/>
      </c>
      <c r="C46" s="56" t="str">
        <f>IF('Assessment Sheet'!F109&lt;&gt;"",'Assessment Sheet'!F109,"")</f>
        <v/>
      </c>
      <c r="D46" s="771"/>
      <c r="E46" s="771"/>
      <c r="F46" s="772"/>
    </row>
    <row r="47" spans="1:6">
      <c r="A47" s="82">
        <v>30</v>
      </c>
      <c r="B47" s="81" t="str">
        <f>IF('Assessment Sheet'!B110&lt;&gt;"",'Assessment Sheet'!B110,"")</f>
        <v/>
      </c>
      <c r="C47" s="56" t="str">
        <f>IF('Assessment Sheet'!F110&lt;&gt;"",'Assessment Sheet'!F110,"")</f>
        <v/>
      </c>
      <c r="D47" s="771"/>
      <c r="E47" s="771"/>
      <c r="F47" s="772"/>
    </row>
    <row r="48" spans="1:6">
      <c r="A48" s="82">
        <v>31</v>
      </c>
      <c r="B48" s="81" t="str">
        <f>IF('Assessment Sheet'!B111&lt;&gt;"",'Assessment Sheet'!B111,"")</f>
        <v/>
      </c>
      <c r="C48" s="56" t="str">
        <f>IF('Assessment Sheet'!F111&lt;&gt;"",'Assessment Sheet'!F111,"")</f>
        <v/>
      </c>
      <c r="D48" s="771"/>
      <c r="E48" s="771"/>
      <c r="F48" s="772"/>
    </row>
    <row r="49" spans="1:6">
      <c r="A49" s="82">
        <v>32</v>
      </c>
      <c r="B49" s="81" t="str">
        <f>IF('Assessment Sheet'!B112&lt;&gt;"",'Assessment Sheet'!B112,"")</f>
        <v/>
      </c>
      <c r="C49" s="56" t="str">
        <f>IF('Assessment Sheet'!F112&lt;&gt;"",'Assessment Sheet'!F112,"")</f>
        <v/>
      </c>
      <c r="D49" s="771"/>
      <c r="E49" s="771"/>
      <c r="F49" s="772"/>
    </row>
    <row r="50" spans="1:6">
      <c r="A50" s="82">
        <v>33</v>
      </c>
      <c r="B50" s="81" t="str">
        <f>IF('Assessment Sheet'!B113&lt;&gt;"",'Assessment Sheet'!B113,"")</f>
        <v/>
      </c>
      <c r="C50" s="56" t="str">
        <f>IF('Assessment Sheet'!F113&lt;&gt;"",'Assessment Sheet'!F113,"")</f>
        <v/>
      </c>
      <c r="D50" s="771"/>
      <c r="E50" s="771"/>
      <c r="F50" s="772"/>
    </row>
    <row r="51" spans="1:6">
      <c r="A51" s="82">
        <v>34</v>
      </c>
      <c r="B51" s="81" t="str">
        <f>IF('Assessment Sheet'!B114&lt;&gt;"",'Assessment Sheet'!B114,"")</f>
        <v/>
      </c>
      <c r="C51" s="56" t="str">
        <f>IF('Assessment Sheet'!F114&lt;&gt;"",'Assessment Sheet'!F114,"")</f>
        <v/>
      </c>
      <c r="D51" s="771"/>
      <c r="E51" s="771"/>
      <c r="F51" s="772"/>
    </row>
    <row r="52" spans="1:6">
      <c r="A52" s="82">
        <v>35</v>
      </c>
      <c r="B52" s="81" t="str">
        <f>IF('Assessment Sheet'!B115&lt;&gt;"",'Assessment Sheet'!B115,"")</f>
        <v/>
      </c>
      <c r="C52" s="56" t="str">
        <f>IF('Assessment Sheet'!F115&lt;&gt;"",'Assessment Sheet'!F115,"")</f>
        <v/>
      </c>
      <c r="D52" s="771"/>
      <c r="E52" s="771"/>
      <c r="F52" s="772"/>
    </row>
    <row r="53" spans="1:6">
      <c r="A53" s="82">
        <v>36</v>
      </c>
      <c r="B53" s="81" t="str">
        <f>IF('Assessment Sheet'!B116&lt;&gt;"",'Assessment Sheet'!B116,"")</f>
        <v/>
      </c>
      <c r="C53" s="56" t="str">
        <f>IF('Assessment Sheet'!F116&lt;&gt;"",'Assessment Sheet'!F116,"")</f>
        <v/>
      </c>
      <c r="D53" s="771"/>
      <c r="E53" s="771"/>
      <c r="F53" s="772"/>
    </row>
    <row r="54" spans="1:6">
      <c r="A54" s="82">
        <v>37</v>
      </c>
      <c r="B54" s="81" t="str">
        <f>IF('Assessment Sheet'!B117&lt;&gt;"",'Assessment Sheet'!B117,"")</f>
        <v/>
      </c>
      <c r="C54" s="56" t="str">
        <f>IF('Assessment Sheet'!F117&lt;&gt;"",'Assessment Sheet'!F117,"")</f>
        <v/>
      </c>
      <c r="D54" s="771"/>
      <c r="E54" s="771"/>
      <c r="F54" s="772"/>
    </row>
    <row r="55" spans="1:6">
      <c r="A55" s="82">
        <v>38</v>
      </c>
      <c r="B55" s="81" t="str">
        <f>IF('Assessment Sheet'!B118&lt;&gt;"",'Assessment Sheet'!B118,"")</f>
        <v/>
      </c>
      <c r="C55" s="56" t="str">
        <f>IF('Assessment Sheet'!F118&lt;&gt;"",'Assessment Sheet'!F118,"")</f>
        <v/>
      </c>
      <c r="D55" s="771"/>
      <c r="E55" s="771"/>
      <c r="F55" s="772"/>
    </row>
    <row r="56" spans="1:6">
      <c r="A56" s="82">
        <v>39</v>
      </c>
      <c r="B56" s="81" t="str">
        <f>IF('Assessment Sheet'!B119&lt;&gt;"",'Assessment Sheet'!B119,"")</f>
        <v/>
      </c>
      <c r="C56" s="56" t="str">
        <f>IF('Assessment Sheet'!F119&lt;&gt;"",'Assessment Sheet'!F119,"")</f>
        <v/>
      </c>
      <c r="D56" s="771"/>
      <c r="E56" s="771"/>
      <c r="F56" s="772"/>
    </row>
    <row r="57" spans="1:6">
      <c r="A57" s="82">
        <v>40</v>
      </c>
      <c r="B57" s="81" t="str">
        <f>IF('Assessment Sheet'!B120&lt;&gt;"",'Assessment Sheet'!B120,"")</f>
        <v/>
      </c>
      <c r="C57" s="56" t="str">
        <f>IF('Assessment Sheet'!F120&lt;&gt;"",'Assessment Sheet'!F120,"")</f>
        <v/>
      </c>
      <c r="D57" s="771"/>
      <c r="E57" s="771"/>
      <c r="F57" s="772"/>
    </row>
    <row r="58" spans="1:6">
      <c r="A58" s="82">
        <v>41</v>
      </c>
      <c r="B58" s="81" t="str">
        <f>IF('Assessment Sheet'!B121&lt;&gt;"",'Assessment Sheet'!B121,"")</f>
        <v/>
      </c>
      <c r="C58" s="56" t="str">
        <f>IF('Assessment Sheet'!F121&lt;&gt;"",'Assessment Sheet'!F121,"")</f>
        <v/>
      </c>
      <c r="D58" s="771"/>
      <c r="E58" s="771"/>
      <c r="F58" s="772"/>
    </row>
    <row r="59" spans="1:6">
      <c r="A59" s="82">
        <v>42</v>
      </c>
      <c r="B59" s="81" t="str">
        <f>IF('Assessment Sheet'!B122&lt;&gt;"",'Assessment Sheet'!B122,"")</f>
        <v/>
      </c>
      <c r="C59" s="56" t="str">
        <f>IF('Assessment Sheet'!F122&lt;&gt;"",'Assessment Sheet'!F122,"")</f>
        <v/>
      </c>
      <c r="D59" s="771"/>
      <c r="E59" s="771"/>
      <c r="F59" s="772"/>
    </row>
    <row r="60" spans="1:6">
      <c r="A60" s="82">
        <v>43</v>
      </c>
      <c r="B60" s="81" t="str">
        <f>IF('Assessment Sheet'!B123&lt;&gt;"",'Assessment Sheet'!B123,"")</f>
        <v/>
      </c>
      <c r="C60" s="56" t="str">
        <f>IF('Assessment Sheet'!F123&lt;&gt;"",'Assessment Sheet'!F123,"")</f>
        <v/>
      </c>
      <c r="D60" s="771"/>
      <c r="E60" s="771"/>
      <c r="F60" s="772"/>
    </row>
    <row r="61" spans="1:6">
      <c r="A61" s="82">
        <v>44</v>
      </c>
      <c r="B61" s="81" t="str">
        <f>IF('Assessment Sheet'!B124&lt;&gt;"",'Assessment Sheet'!B124,"")</f>
        <v/>
      </c>
      <c r="C61" s="56" t="str">
        <f>IF('Assessment Sheet'!F124&lt;&gt;"",'Assessment Sheet'!F124,"")</f>
        <v/>
      </c>
      <c r="D61" s="771"/>
      <c r="E61" s="771"/>
      <c r="F61" s="772"/>
    </row>
    <row r="62" spans="1:6">
      <c r="A62" s="82">
        <v>45</v>
      </c>
      <c r="B62" s="81" t="str">
        <f>IF('Assessment Sheet'!B125&lt;&gt;"",'Assessment Sheet'!B125,"")</f>
        <v/>
      </c>
      <c r="C62" s="56" t="str">
        <f>IF('Assessment Sheet'!F125&lt;&gt;"",'Assessment Sheet'!F125,"")</f>
        <v/>
      </c>
      <c r="D62" s="771"/>
      <c r="E62" s="771"/>
      <c r="F62" s="772"/>
    </row>
    <row r="63" spans="1:6">
      <c r="A63" s="82">
        <v>46</v>
      </c>
      <c r="B63" s="81" t="str">
        <f>IF('Assessment Sheet'!B126&lt;&gt;"",'Assessment Sheet'!B126,"")</f>
        <v/>
      </c>
      <c r="C63" s="56" t="str">
        <f>IF('Assessment Sheet'!F126&lt;&gt;"",'Assessment Sheet'!F126,"")</f>
        <v/>
      </c>
      <c r="D63" s="771"/>
      <c r="E63" s="771"/>
      <c r="F63" s="772"/>
    </row>
    <row r="64" spans="1:6">
      <c r="A64" s="82">
        <v>47</v>
      </c>
      <c r="B64" s="81" t="str">
        <f>IF('Assessment Sheet'!B127&lt;&gt;"",'Assessment Sheet'!B127,"")</f>
        <v/>
      </c>
      <c r="C64" s="56" t="str">
        <f>IF('Assessment Sheet'!F127&lt;&gt;"",'Assessment Sheet'!F127,"")</f>
        <v/>
      </c>
      <c r="D64" s="771"/>
      <c r="E64" s="771"/>
      <c r="F64" s="772"/>
    </row>
    <row r="65" spans="1:6">
      <c r="A65" s="82">
        <v>48</v>
      </c>
      <c r="B65" s="81" t="str">
        <f>IF('Assessment Sheet'!B128&lt;&gt;"",'Assessment Sheet'!B128,"")</f>
        <v/>
      </c>
      <c r="C65" s="56" t="str">
        <f>IF('Assessment Sheet'!F128&lt;&gt;"",'Assessment Sheet'!F128,"")</f>
        <v/>
      </c>
      <c r="D65" s="771"/>
      <c r="E65" s="771"/>
      <c r="F65" s="772"/>
    </row>
    <row r="66" spans="1:6">
      <c r="A66" s="82">
        <v>49</v>
      </c>
      <c r="B66" s="81" t="str">
        <f>IF('Assessment Sheet'!B129&lt;&gt;"",'Assessment Sheet'!B129,"")</f>
        <v/>
      </c>
      <c r="C66" s="56" t="str">
        <f>IF('Assessment Sheet'!F129&lt;&gt;"",'Assessment Sheet'!F129,"")</f>
        <v/>
      </c>
      <c r="D66" s="771"/>
      <c r="E66" s="771"/>
      <c r="F66" s="772"/>
    </row>
    <row r="67" spans="1:6">
      <c r="A67" s="82">
        <v>50</v>
      </c>
      <c r="B67" s="81" t="str">
        <f>IF('Assessment Sheet'!B130&lt;&gt;"",'Assessment Sheet'!B130,"")</f>
        <v/>
      </c>
      <c r="C67" s="56" t="str">
        <f>IF('Assessment Sheet'!F130&lt;&gt;"",'Assessment Sheet'!F130,"")</f>
        <v/>
      </c>
      <c r="D67" s="771"/>
      <c r="E67" s="771"/>
      <c r="F67" s="772"/>
    </row>
    <row r="68" spans="1:6">
      <c r="A68" s="82">
        <v>51</v>
      </c>
      <c r="B68" s="81" t="str">
        <f>IF('Assessment Sheet'!B131&lt;&gt;"",'Assessment Sheet'!B131,"")</f>
        <v/>
      </c>
      <c r="C68" s="56" t="str">
        <f>IF('Assessment Sheet'!F131&lt;&gt;"",'Assessment Sheet'!F131,"")</f>
        <v/>
      </c>
      <c r="D68" s="771"/>
      <c r="E68" s="771"/>
      <c r="F68" s="772"/>
    </row>
    <row r="69" spans="1:6">
      <c r="A69" s="82">
        <v>52</v>
      </c>
      <c r="B69" s="81" t="str">
        <f>IF('Assessment Sheet'!B132&lt;&gt;"",'Assessment Sheet'!B132,"")</f>
        <v/>
      </c>
      <c r="C69" s="56" t="str">
        <f>IF('Assessment Sheet'!F132&lt;&gt;"",'Assessment Sheet'!F132,"")</f>
        <v/>
      </c>
      <c r="D69" s="771"/>
      <c r="E69" s="771"/>
      <c r="F69" s="772"/>
    </row>
    <row r="70" spans="1:6">
      <c r="A70" s="82">
        <v>53</v>
      </c>
      <c r="B70" s="81" t="str">
        <f>IF('Assessment Sheet'!B133&lt;&gt;"",'Assessment Sheet'!B133,"")</f>
        <v/>
      </c>
      <c r="C70" s="56" t="str">
        <f>IF('Assessment Sheet'!F133&lt;&gt;"",'Assessment Sheet'!F133,"")</f>
        <v/>
      </c>
      <c r="D70" s="771"/>
      <c r="E70" s="771"/>
      <c r="F70" s="772"/>
    </row>
    <row r="71" spans="1:6">
      <c r="A71" s="82">
        <v>54</v>
      </c>
      <c r="B71" s="81" t="str">
        <f>IF('Assessment Sheet'!B134&lt;&gt;"",'Assessment Sheet'!B134,"")</f>
        <v/>
      </c>
      <c r="C71" s="56" t="str">
        <f>IF('Assessment Sheet'!F134&lt;&gt;"",'Assessment Sheet'!F134,"")</f>
        <v/>
      </c>
      <c r="D71" s="771"/>
      <c r="E71" s="771"/>
      <c r="F71" s="772"/>
    </row>
    <row r="72" spans="1:6">
      <c r="A72" s="82">
        <v>55</v>
      </c>
      <c r="B72" s="81" t="str">
        <f>IF('Assessment Sheet'!B135&lt;&gt;"",'Assessment Sheet'!B135,"")</f>
        <v/>
      </c>
      <c r="C72" s="56" t="str">
        <f>IF('Assessment Sheet'!F135&lt;&gt;"",'Assessment Sheet'!F135,"")</f>
        <v/>
      </c>
      <c r="D72" s="771"/>
      <c r="E72" s="771"/>
      <c r="F72" s="772"/>
    </row>
    <row r="73" spans="1:6">
      <c r="A73" s="82">
        <v>56</v>
      </c>
      <c r="B73" s="81" t="str">
        <f>IF('Assessment Sheet'!B136&lt;&gt;"",'Assessment Sheet'!B136,"")</f>
        <v/>
      </c>
      <c r="C73" s="56" t="str">
        <f>IF('Assessment Sheet'!F136&lt;&gt;"",'Assessment Sheet'!F136,"")</f>
        <v/>
      </c>
      <c r="D73" s="771"/>
      <c r="E73" s="771"/>
      <c r="F73" s="772"/>
    </row>
    <row r="74" spans="1:6">
      <c r="A74" s="82">
        <v>57</v>
      </c>
      <c r="B74" s="81" t="str">
        <f>IF('Assessment Sheet'!B137&lt;&gt;"",'Assessment Sheet'!B137,"")</f>
        <v/>
      </c>
      <c r="C74" s="56" t="str">
        <f>IF('Assessment Sheet'!F137&lt;&gt;"",'Assessment Sheet'!F137,"")</f>
        <v/>
      </c>
      <c r="D74" s="771"/>
      <c r="E74" s="771"/>
      <c r="F74" s="772"/>
    </row>
    <row r="75" spans="1:6">
      <c r="A75" s="82">
        <v>58</v>
      </c>
      <c r="B75" s="81" t="str">
        <f>IF('Assessment Sheet'!B138&lt;&gt;"",'Assessment Sheet'!B138,"")</f>
        <v/>
      </c>
      <c r="C75" s="56" t="str">
        <f>IF('Assessment Sheet'!F138&lt;&gt;"",'Assessment Sheet'!F138,"")</f>
        <v/>
      </c>
      <c r="D75" s="771"/>
      <c r="E75" s="771"/>
      <c r="F75" s="772"/>
    </row>
    <row r="76" spans="1:6">
      <c r="A76" s="82">
        <v>59</v>
      </c>
      <c r="B76" s="81" t="str">
        <f>IF('Assessment Sheet'!B139&lt;&gt;"",'Assessment Sheet'!B139,"")</f>
        <v/>
      </c>
      <c r="C76" s="56" t="str">
        <f>IF('Assessment Sheet'!F139&lt;&gt;"",'Assessment Sheet'!F139,"")</f>
        <v/>
      </c>
      <c r="D76" s="771"/>
      <c r="E76" s="771"/>
      <c r="F76" s="772"/>
    </row>
    <row r="77" spans="1:6" ht="11.25" customHeight="1">
      <c r="A77" s="82">
        <v>60</v>
      </c>
      <c r="B77" s="81" t="str">
        <f>IF('Assessment Sheet'!B140&lt;&gt;"",'Assessment Sheet'!B140,"")</f>
        <v/>
      </c>
      <c r="C77" s="56" t="str">
        <f>IF('Assessment Sheet'!F140&lt;&gt;"",'Assessment Sheet'!F140,"")</f>
        <v/>
      </c>
      <c r="D77" s="771"/>
      <c r="E77" s="771"/>
      <c r="F77" s="772"/>
    </row>
    <row r="78" spans="1:6" hidden="1">
      <c r="A78" s="82">
        <v>61</v>
      </c>
      <c r="B78" s="81" t="str">
        <f>IF('Assessment Sheet'!B141&lt;&gt;"",'Assessment Sheet'!B141,"")</f>
        <v/>
      </c>
      <c r="C78" s="56" t="str">
        <f>IF('Assessment Sheet'!F141&lt;&gt;"",'Assessment Sheet'!F141,"")</f>
        <v/>
      </c>
      <c r="D78" s="771"/>
      <c r="E78" s="771"/>
      <c r="F78" s="772"/>
    </row>
    <row r="79" spans="1:6" hidden="1">
      <c r="A79" s="82">
        <v>62</v>
      </c>
      <c r="B79" s="81" t="str">
        <f>IF('Assessment Sheet'!B142&lt;&gt;"",'Assessment Sheet'!B142,"")</f>
        <v/>
      </c>
      <c r="C79" s="56" t="str">
        <f>IF('Assessment Sheet'!F142&lt;&gt;"",'Assessment Sheet'!F142,"")</f>
        <v/>
      </c>
      <c r="D79" s="771"/>
      <c r="E79" s="771"/>
      <c r="F79" s="772"/>
    </row>
    <row r="80" spans="1:6" hidden="1">
      <c r="A80" s="82">
        <v>63</v>
      </c>
      <c r="B80" s="81" t="str">
        <f>IF('Assessment Sheet'!B143&lt;&gt;"",'Assessment Sheet'!B143,"")</f>
        <v/>
      </c>
      <c r="C80" s="56" t="str">
        <f>IF('Assessment Sheet'!F143&lt;&gt;"",'Assessment Sheet'!F143,"")</f>
        <v/>
      </c>
      <c r="D80" s="771"/>
      <c r="E80" s="771"/>
      <c r="F80" s="772"/>
    </row>
    <row r="81" spans="1:6" hidden="1">
      <c r="A81" s="82">
        <v>64</v>
      </c>
      <c r="B81" s="81" t="str">
        <f>IF('Assessment Sheet'!B144&lt;&gt;"",'Assessment Sheet'!B144,"")</f>
        <v/>
      </c>
      <c r="C81" s="56" t="str">
        <f>IF('Assessment Sheet'!F144&lt;&gt;"",'Assessment Sheet'!F144,"")</f>
        <v/>
      </c>
      <c r="D81" s="771"/>
      <c r="E81" s="771"/>
      <c r="F81" s="772"/>
    </row>
    <row r="82" spans="1:6" hidden="1">
      <c r="A82" s="82">
        <v>65</v>
      </c>
      <c r="B82" s="81" t="str">
        <f>IF('Assessment Sheet'!B145&lt;&gt;"",'Assessment Sheet'!B145,"")</f>
        <v/>
      </c>
      <c r="C82" s="56" t="str">
        <f>IF('Assessment Sheet'!F145&lt;&gt;"",'Assessment Sheet'!F145,"")</f>
        <v/>
      </c>
      <c r="D82" s="771"/>
      <c r="E82" s="771"/>
      <c r="F82" s="772"/>
    </row>
    <row r="83" spans="1:6" hidden="1">
      <c r="A83" s="82">
        <v>66</v>
      </c>
      <c r="B83" s="81" t="str">
        <f>IF('Assessment Sheet'!B146&lt;&gt;"",'Assessment Sheet'!B146,"")</f>
        <v/>
      </c>
      <c r="C83" s="56" t="str">
        <f>IF('Assessment Sheet'!F146&lt;&gt;"",'Assessment Sheet'!F146,"")</f>
        <v/>
      </c>
      <c r="D83" s="771"/>
      <c r="E83" s="771"/>
      <c r="F83" s="772"/>
    </row>
    <row r="84" spans="1:6" hidden="1">
      <c r="A84" s="82">
        <v>67</v>
      </c>
      <c r="B84" s="81" t="str">
        <f>IF('Assessment Sheet'!B147&lt;&gt;"",'Assessment Sheet'!B147,"")</f>
        <v/>
      </c>
      <c r="C84" s="56" t="str">
        <f>IF('Assessment Sheet'!F147&lt;&gt;"",'Assessment Sheet'!F147,"")</f>
        <v/>
      </c>
      <c r="D84" s="771"/>
      <c r="E84" s="771"/>
      <c r="F84" s="772"/>
    </row>
    <row r="85" spans="1:6" hidden="1">
      <c r="A85" s="82">
        <v>68</v>
      </c>
      <c r="B85" s="81" t="str">
        <f>IF('Assessment Sheet'!B148&lt;&gt;"",'Assessment Sheet'!B148,"")</f>
        <v/>
      </c>
      <c r="C85" s="56" t="str">
        <f>IF('Assessment Sheet'!F148&lt;&gt;"",'Assessment Sheet'!F148,"")</f>
        <v/>
      </c>
      <c r="D85" s="771"/>
      <c r="E85" s="771"/>
      <c r="F85" s="772"/>
    </row>
    <row r="86" spans="1:6" hidden="1">
      <c r="A86" s="82">
        <v>69</v>
      </c>
      <c r="B86" s="81" t="str">
        <f>IF('Assessment Sheet'!B149&lt;&gt;"",'Assessment Sheet'!B149,"")</f>
        <v/>
      </c>
      <c r="C86" s="56" t="str">
        <f>IF('Assessment Sheet'!F149&lt;&gt;"",'Assessment Sheet'!F149,"")</f>
        <v/>
      </c>
      <c r="D86" s="771"/>
      <c r="E86" s="771"/>
      <c r="F86" s="772"/>
    </row>
    <row r="87" spans="1:6" hidden="1">
      <c r="A87" s="82">
        <v>70</v>
      </c>
      <c r="B87" s="81" t="str">
        <f>IF('Assessment Sheet'!B150&lt;&gt;"",'Assessment Sheet'!B150,"")</f>
        <v/>
      </c>
      <c r="C87" s="56" t="str">
        <f>IF('Assessment Sheet'!F150&lt;&gt;"",'Assessment Sheet'!F150,"")</f>
        <v/>
      </c>
      <c r="D87" s="771"/>
      <c r="E87" s="771"/>
      <c r="F87" s="772"/>
    </row>
    <row r="88" spans="1:6" hidden="1">
      <c r="A88" s="82">
        <v>71</v>
      </c>
      <c r="B88" s="81" t="str">
        <f>IF('Assessment Sheet'!B151&lt;&gt;"",'Assessment Sheet'!B151,"")</f>
        <v/>
      </c>
      <c r="C88" s="56" t="str">
        <f>IF('Assessment Sheet'!F151&lt;&gt;"",'Assessment Sheet'!F151,"")</f>
        <v/>
      </c>
      <c r="D88" s="771"/>
      <c r="E88" s="771"/>
      <c r="F88" s="772"/>
    </row>
    <row r="89" spans="1:6" hidden="1">
      <c r="A89" s="82">
        <v>72</v>
      </c>
      <c r="B89" s="81" t="str">
        <f>IF('Assessment Sheet'!B152&lt;&gt;"",'Assessment Sheet'!B152,"")</f>
        <v/>
      </c>
      <c r="C89" s="56" t="str">
        <f>IF('Assessment Sheet'!F152&lt;&gt;"",'Assessment Sheet'!F152,"")</f>
        <v/>
      </c>
      <c r="D89" s="771"/>
      <c r="E89" s="771"/>
      <c r="F89" s="772"/>
    </row>
    <row r="90" spans="1:6" hidden="1">
      <c r="A90" s="82">
        <v>73</v>
      </c>
      <c r="B90" s="81" t="str">
        <f>IF('Assessment Sheet'!B153&lt;&gt;"",'Assessment Sheet'!B153,"")</f>
        <v/>
      </c>
      <c r="C90" s="56" t="str">
        <f>IF('Assessment Sheet'!F153&lt;&gt;"",'Assessment Sheet'!F153,"")</f>
        <v/>
      </c>
      <c r="D90" s="771"/>
      <c r="E90" s="771"/>
      <c r="F90" s="772"/>
    </row>
    <row r="91" spans="1:6" hidden="1">
      <c r="A91" s="82">
        <v>74</v>
      </c>
      <c r="B91" s="81" t="str">
        <f>IF('Assessment Sheet'!B154&lt;&gt;"",'Assessment Sheet'!B154,"")</f>
        <v/>
      </c>
      <c r="C91" s="56" t="str">
        <f>IF('Assessment Sheet'!F154&lt;&gt;"",'Assessment Sheet'!F154,"")</f>
        <v/>
      </c>
      <c r="D91" s="771"/>
      <c r="E91" s="771"/>
      <c r="F91" s="772"/>
    </row>
    <row r="92" spans="1:6" hidden="1">
      <c r="A92" s="82">
        <v>75</v>
      </c>
      <c r="B92" s="81" t="str">
        <f>IF('Assessment Sheet'!B155&lt;&gt;"",'Assessment Sheet'!B155,"")</f>
        <v/>
      </c>
      <c r="C92" s="56" t="str">
        <f>IF('Assessment Sheet'!F155&lt;&gt;"",'Assessment Sheet'!F155,"")</f>
        <v/>
      </c>
      <c r="D92" s="771"/>
      <c r="E92" s="771"/>
      <c r="F92" s="772"/>
    </row>
    <row r="93" spans="1:6" hidden="1">
      <c r="A93" s="82">
        <v>76</v>
      </c>
      <c r="B93" s="81" t="str">
        <f>IF('Assessment Sheet'!B156&lt;&gt;"",'Assessment Sheet'!B156,"")</f>
        <v/>
      </c>
      <c r="C93" s="56" t="str">
        <f>IF('Assessment Sheet'!F156&lt;&gt;"",'Assessment Sheet'!F156,"")</f>
        <v/>
      </c>
      <c r="D93" s="771"/>
      <c r="E93" s="771"/>
      <c r="F93" s="772"/>
    </row>
    <row r="94" spans="1:6" hidden="1">
      <c r="A94" s="82">
        <v>77</v>
      </c>
      <c r="B94" s="81" t="str">
        <f>IF('Assessment Sheet'!B157&lt;&gt;"",'Assessment Sheet'!B157,"")</f>
        <v/>
      </c>
      <c r="C94" s="56" t="str">
        <f>IF('Assessment Sheet'!F157&lt;&gt;"",'Assessment Sheet'!F157,"")</f>
        <v/>
      </c>
      <c r="D94" s="771"/>
      <c r="E94" s="771"/>
      <c r="F94" s="772"/>
    </row>
    <row r="95" spans="1:6" hidden="1">
      <c r="A95" s="82">
        <v>78</v>
      </c>
      <c r="B95" s="81" t="str">
        <f>IF('Assessment Sheet'!B158&lt;&gt;"",'Assessment Sheet'!B158,"")</f>
        <v/>
      </c>
      <c r="C95" s="56" t="str">
        <f>IF('Assessment Sheet'!F158&lt;&gt;"",'Assessment Sheet'!F158,"")</f>
        <v/>
      </c>
      <c r="D95" s="771"/>
      <c r="E95" s="771"/>
      <c r="F95" s="772"/>
    </row>
    <row r="96" spans="1:6" hidden="1">
      <c r="A96" s="82">
        <v>79</v>
      </c>
      <c r="B96" s="81" t="str">
        <f>IF('Assessment Sheet'!B159&lt;&gt;"",'Assessment Sheet'!B159,"")</f>
        <v/>
      </c>
      <c r="C96" s="56" t="str">
        <f>IF('Assessment Sheet'!F159&lt;&gt;"",'Assessment Sheet'!F159,"")</f>
        <v/>
      </c>
      <c r="D96" s="771"/>
      <c r="E96" s="771"/>
      <c r="F96" s="772"/>
    </row>
    <row r="97" spans="1:6" hidden="1">
      <c r="A97" s="82">
        <v>80</v>
      </c>
      <c r="B97" s="81" t="str">
        <f>IF('Assessment Sheet'!B160&lt;&gt;"",'Assessment Sheet'!B160,"")</f>
        <v/>
      </c>
      <c r="C97" s="56" t="str">
        <f>IF('Assessment Sheet'!F160&lt;&gt;"",'Assessment Sheet'!F160,"")</f>
        <v/>
      </c>
      <c r="D97" s="771"/>
      <c r="E97" s="771"/>
      <c r="F97" s="772"/>
    </row>
    <row r="98" spans="1:6" hidden="1">
      <c r="A98" s="82">
        <v>81</v>
      </c>
      <c r="B98" s="81" t="str">
        <f>IF('Assessment Sheet'!B161&lt;&gt;"",'Assessment Sheet'!B161,"")</f>
        <v/>
      </c>
      <c r="C98" s="56" t="str">
        <f>IF('Assessment Sheet'!F161&lt;&gt;"",'Assessment Sheet'!F161,"")</f>
        <v/>
      </c>
      <c r="D98" s="771"/>
      <c r="E98" s="771"/>
      <c r="F98" s="772"/>
    </row>
    <row r="99" spans="1:6" hidden="1">
      <c r="A99" s="82">
        <v>82</v>
      </c>
      <c r="B99" s="81" t="str">
        <f>IF('Assessment Sheet'!B162&lt;&gt;"",'Assessment Sheet'!B162,"")</f>
        <v/>
      </c>
      <c r="C99" s="56" t="str">
        <f>IF('Assessment Sheet'!F162&lt;&gt;"",'Assessment Sheet'!F162,"")</f>
        <v/>
      </c>
      <c r="D99" s="771"/>
      <c r="E99" s="771"/>
      <c r="F99" s="772"/>
    </row>
    <row r="100" spans="1:6" hidden="1">
      <c r="A100" s="82">
        <v>83</v>
      </c>
      <c r="B100" s="81" t="str">
        <f>IF('Assessment Sheet'!B163&lt;&gt;"",'Assessment Sheet'!B163,"")</f>
        <v/>
      </c>
      <c r="C100" s="56" t="str">
        <f>IF('Assessment Sheet'!F163&lt;&gt;"",'Assessment Sheet'!F163,"")</f>
        <v/>
      </c>
      <c r="D100" s="771"/>
      <c r="E100" s="771"/>
      <c r="F100" s="772"/>
    </row>
    <row r="101" spans="1:6" hidden="1">
      <c r="A101" s="82">
        <v>84</v>
      </c>
      <c r="B101" s="81" t="str">
        <f>IF('Assessment Sheet'!B164&lt;&gt;"",'Assessment Sheet'!B164,"")</f>
        <v/>
      </c>
      <c r="C101" s="56" t="str">
        <f>IF('Assessment Sheet'!F164&lt;&gt;"",'Assessment Sheet'!F164,"")</f>
        <v/>
      </c>
      <c r="D101" s="771"/>
      <c r="E101" s="771"/>
      <c r="F101" s="772"/>
    </row>
    <row r="102" spans="1:6" hidden="1">
      <c r="A102" s="82">
        <v>85</v>
      </c>
      <c r="B102" s="81" t="str">
        <f>IF('Assessment Sheet'!B165&lt;&gt;"",'Assessment Sheet'!B165,"")</f>
        <v/>
      </c>
      <c r="C102" s="56" t="str">
        <f>IF('Assessment Sheet'!F165&lt;&gt;"",'Assessment Sheet'!F165,"")</f>
        <v/>
      </c>
      <c r="D102" s="771"/>
      <c r="E102" s="771"/>
      <c r="F102" s="772"/>
    </row>
    <row r="103" spans="1:6" hidden="1">
      <c r="A103" s="82">
        <v>86</v>
      </c>
      <c r="B103" s="81" t="str">
        <f>IF('Assessment Sheet'!B166&lt;&gt;"",'Assessment Sheet'!B166,"")</f>
        <v/>
      </c>
      <c r="C103" s="56" t="str">
        <f>IF('Assessment Sheet'!F166&lt;&gt;"",'Assessment Sheet'!F166,"")</f>
        <v/>
      </c>
      <c r="D103" s="771"/>
      <c r="E103" s="771"/>
      <c r="F103" s="772"/>
    </row>
    <row r="104" spans="1:6" hidden="1">
      <c r="A104" s="82">
        <v>87</v>
      </c>
      <c r="B104" s="81" t="str">
        <f>IF('Assessment Sheet'!B167&lt;&gt;"",'Assessment Sheet'!B167,"")</f>
        <v/>
      </c>
      <c r="C104" s="56" t="str">
        <f>IF('Assessment Sheet'!F167&lt;&gt;"",'Assessment Sheet'!F167,"")</f>
        <v/>
      </c>
      <c r="D104" s="771"/>
      <c r="E104" s="771"/>
      <c r="F104" s="772"/>
    </row>
    <row r="105" spans="1:6" hidden="1">
      <c r="A105" s="82">
        <v>88</v>
      </c>
      <c r="B105" s="81" t="str">
        <f>IF('Assessment Sheet'!B168&lt;&gt;"",'Assessment Sheet'!B168,"")</f>
        <v/>
      </c>
      <c r="C105" s="56" t="str">
        <f>IF('Assessment Sheet'!F168&lt;&gt;"",'Assessment Sheet'!F168,"")</f>
        <v/>
      </c>
      <c r="D105" s="771"/>
      <c r="E105" s="771"/>
      <c r="F105" s="772"/>
    </row>
    <row r="106" spans="1:6" hidden="1">
      <c r="A106" s="82">
        <v>89</v>
      </c>
      <c r="B106" s="81" t="str">
        <f>IF('Assessment Sheet'!B169&lt;&gt;"",'Assessment Sheet'!B169,"")</f>
        <v/>
      </c>
      <c r="C106" s="56" t="str">
        <f>IF('Assessment Sheet'!F169&lt;&gt;"",'Assessment Sheet'!F169,"")</f>
        <v/>
      </c>
      <c r="D106" s="771"/>
      <c r="E106" s="771"/>
      <c r="F106" s="772"/>
    </row>
    <row r="107" spans="1:6" hidden="1">
      <c r="A107" s="82">
        <v>90</v>
      </c>
      <c r="B107" s="81" t="str">
        <f>IF('Assessment Sheet'!B170&lt;&gt;"",'Assessment Sheet'!B170,"")</f>
        <v/>
      </c>
      <c r="C107" s="56" t="str">
        <f>IF('Assessment Sheet'!F170&lt;&gt;"",'Assessment Sheet'!F170,"")</f>
        <v/>
      </c>
      <c r="D107" s="771"/>
      <c r="E107" s="771"/>
      <c r="F107" s="772"/>
    </row>
    <row r="108" spans="1:6" hidden="1">
      <c r="A108" s="82">
        <v>91</v>
      </c>
      <c r="B108" s="81" t="str">
        <f>IF('Assessment Sheet'!B171&lt;&gt;"",'Assessment Sheet'!B171,"")</f>
        <v/>
      </c>
      <c r="C108" s="56" t="str">
        <f>IF('Assessment Sheet'!F171&lt;&gt;"",'Assessment Sheet'!F171,"")</f>
        <v/>
      </c>
      <c r="D108" s="771"/>
      <c r="E108" s="771"/>
      <c r="F108" s="772"/>
    </row>
    <row r="109" spans="1:6" hidden="1">
      <c r="A109" s="82">
        <v>92</v>
      </c>
      <c r="B109" s="81" t="str">
        <f>IF('Assessment Sheet'!B172&lt;&gt;"",'Assessment Sheet'!B172,"")</f>
        <v/>
      </c>
      <c r="C109" s="56" t="str">
        <f>IF('Assessment Sheet'!F172&lt;&gt;"",'Assessment Sheet'!F172,"")</f>
        <v/>
      </c>
      <c r="D109" s="771"/>
      <c r="E109" s="771"/>
      <c r="F109" s="772"/>
    </row>
    <row r="110" spans="1:6" hidden="1">
      <c r="A110" s="82">
        <v>93</v>
      </c>
      <c r="B110" s="81" t="str">
        <f>IF('Assessment Sheet'!B173&lt;&gt;"",'Assessment Sheet'!B173,"")</f>
        <v/>
      </c>
      <c r="C110" s="56" t="str">
        <f>IF('Assessment Sheet'!F173&lt;&gt;"",'Assessment Sheet'!F173,"")</f>
        <v/>
      </c>
      <c r="D110" s="771"/>
      <c r="E110" s="771"/>
      <c r="F110" s="772"/>
    </row>
    <row r="111" spans="1:6" hidden="1">
      <c r="A111" s="82">
        <v>94</v>
      </c>
      <c r="B111" s="81" t="str">
        <f>IF('Assessment Sheet'!B174&lt;&gt;"",'Assessment Sheet'!B174,"")</f>
        <v/>
      </c>
      <c r="C111" s="56" t="str">
        <f>IF('Assessment Sheet'!F174&lt;&gt;"",'Assessment Sheet'!F174,"")</f>
        <v/>
      </c>
      <c r="D111" s="771"/>
      <c r="E111" s="771"/>
      <c r="F111" s="772"/>
    </row>
    <row r="112" spans="1:6" hidden="1">
      <c r="A112" s="82">
        <v>95</v>
      </c>
      <c r="B112" s="81" t="str">
        <f>IF('Assessment Sheet'!B175&lt;&gt;"",'Assessment Sheet'!B175,"")</f>
        <v/>
      </c>
      <c r="C112" s="56" t="str">
        <f>IF('Assessment Sheet'!F175&lt;&gt;"",'Assessment Sheet'!F175,"")</f>
        <v/>
      </c>
      <c r="D112" s="771"/>
      <c r="E112" s="771"/>
      <c r="F112" s="772"/>
    </row>
    <row r="113" spans="1:6" hidden="1">
      <c r="A113" s="82">
        <v>96</v>
      </c>
      <c r="B113" s="81" t="str">
        <f>IF('Assessment Sheet'!B176&lt;&gt;"",'Assessment Sheet'!B176,"")</f>
        <v/>
      </c>
      <c r="C113" s="56" t="str">
        <f>IF('Assessment Sheet'!F176&lt;&gt;"",'Assessment Sheet'!F176,"")</f>
        <v/>
      </c>
      <c r="D113" s="771"/>
      <c r="E113" s="771"/>
      <c r="F113" s="772"/>
    </row>
    <row r="114" spans="1:6" hidden="1">
      <c r="A114" s="82">
        <v>97</v>
      </c>
      <c r="B114" s="81" t="str">
        <f>IF('Assessment Sheet'!B177&lt;&gt;"",'Assessment Sheet'!B177,"")</f>
        <v/>
      </c>
      <c r="C114" s="56" t="str">
        <f>IF('Assessment Sheet'!F177&lt;&gt;"",'Assessment Sheet'!F177,"")</f>
        <v/>
      </c>
      <c r="D114" s="771"/>
      <c r="E114" s="771"/>
      <c r="F114" s="772"/>
    </row>
    <row r="115" spans="1:6" hidden="1">
      <c r="A115" s="82">
        <v>98</v>
      </c>
      <c r="B115" s="81" t="str">
        <f>IF('Assessment Sheet'!B178&lt;&gt;"",'Assessment Sheet'!B178,"")</f>
        <v/>
      </c>
      <c r="C115" s="56" t="str">
        <f>IF('Assessment Sheet'!F178&lt;&gt;"",'Assessment Sheet'!F178,"")</f>
        <v/>
      </c>
      <c r="D115" s="771"/>
      <c r="E115" s="771"/>
      <c r="F115" s="772"/>
    </row>
    <row r="116" spans="1:6" ht="12" customHeight="1">
      <c r="B116" s="52"/>
      <c r="C116" s="45"/>
      <c r="D116" s="45"/>
      <c r="E116" s="45"/>
      <c r="F116" s="45"/>
    </row>
    <row r="117" spans="1:6" ht="12" customHeight="1">
      <c r="A117" s="1603" t="s">
        <v>156</v>
      </c>
      <c r="B117" s="1604"/>
      <c r="C117" s="49"/>
      <c r="D117" s="49"/>
      <c r="E117" s="49"/>
      <c r="F117" s="50"/>
    </row>
    <row r="118" spans="1:6" ht="12" customHeight="1">
      <c r="A118" s="1594" t="s">
        <v>273</v>
      </c>
      <c r="B118" s="1595"/>
      <c r="C118" s="1595"/>
      <c r="D118" s="1595"/>
      <c r="E118" s="1595"/>
      <c r="F118" s="1596"/>
    </row>
    <row r="119" spans="1:6" ht="37.5" customHeight="1">
      <c r="A119" s="1597"/>
      <c r="B119" s="1598"/>
      <c r="C119" s="1598"/>
      <c r="D119" s="1598"/>
      <c r="E119" s="1598"/>
      <c r="F119" s="1599"/>
    </row>
    <row r="120" spans="1:6" ht="12" customHeight="1">
      <c r="A120" s="1600" t="s">
        <v>167</v>
      </c>
      <c r="B120" s="1600"/>
      <c r="C120" s="1600"/>
      <c r="D120" s="1600"/>
      <c r="E120" s="1600"/>
      <c r="F120" s="1600"/>
    </row>
    <row r="121" spans="1:6" ht="12" customHeight="1">
      <c r="A121" s="1601"/>
      <c r="B121" s="1601"/>
      <c r="C121" s="1601"/>
      <c r="D121" s="1601"/>
      <c r="E121" s="1601"/>
      <c r="F121" s="1601"/>
    </row>
    <row r="122" spans="1:6" ht="12" customHeight="1">
      <c r="B122" s="53" t="s">
        <v>142</v>
      </c>
      <c r="C122" s="53"/>
      <c r="D122" s="53"/>
      <c r="E122" s="53"/>
      <c r="F122" s="53"/>
    </row>
    <row r="123" spans="1:6" ht="12" customHeight="1">
      <c r="F123" s="57" t="s">
        <v>143</v>
      </c>
    </row>
    <row r="125" spans="1:6" ht="12" customHeight="1">
      <c r="E125" s="1587" t="str">
        <f>'Data Entry'!$B$60</f>
        <v>Dilip Kumar Sinha</v>
      </c>
      <c r="F125" s="1588"/>
    </row>
    <row r="126" spans="1:6" ht="12" customHeight="1">
      <c r="E126" s="83"/>
      <c r="F126" s="57" t="s">
        <v>144</v>
      </c>
    </row>
    <row r="131" spans="3:6" ht="12" customHeight="1">
      <c r="C131" s="1274" t="s">
        <v>181</v>
      </c>
      <c r="D131" s="1274"/>
      <c r="E131" s="1274"/>
      <c r="F131" s="1274"/>
    </row>
  </sheetData>
  <sheetProtection sheet="1" objects="1" scenarios="1" formatRows="0" selectLockedCells="1"/>
  <customSheetViews>
    <customSheetView guid="{90D8D907-8142-40B5-8083-592E26272F1C}">
      <selection activeCell="F1" sqref="F1"/>
      <pageMargins left="0.7" right="0.7" top="0.75" bottom="0.75" header="0.3" footer="0.3"/>
      <pageSetup paperSize="9" orientation="portrait" r:id="rId1"/>
    </customSheetView>
  </customSheetViews>
  <mergeCells count="24">
    <mergeCell ref="A5:F5"/>
    <mergeCell ref="A7:B7"/>
    <mergeCell ref="A8:B8"/>
    <mergeCell ref="A9:B9"/>
    <mergeCell ref="C4:D4"/>
    <mergeCell ref="A4:B4"/>
    <mergeCell ref="E1:F1"/>
    <mergeCell ref="C3:D3"/>
    <mergeCell ref="A1:C1"/>
    <mergeCell ref="A2:C2"/>
    <mergeCell ref="A3:B3"/>
    <mergeCell ref="C131:F131"/>
    <mergeCell ref="H10:R13"/>
    <mergeCell ref="E125:F125"/>
    <mergeCell ref="C7:D7"/>
    <mergeCell ref="C8:D8"/>
    <mergeCell ref="A11:C11"/>
    <mergeCell ref="A13:F13"/>
    <mergeCell ref="A118:F119"/>
    <mergeCell ref="A120:F121"/>
    <mergeCell ref="A14:F14"/>
    <mergeCell ref="A15:F15"/>
    <mergeCell ref="A12:F12"/>
    <mergeCell ref="A117:B117"/>
  </mergeCells>
  <dataValidations count="1">
    <dataValidation type="list" allowBlank="1" showInputMessage="1" showErrorMessage="1" sqref="D18:E115">
      <formula1>"Yes,No"</formula1>
    </dataValidation>
  </dataValidations>
  <pageMargins left="0.70866141732283505" right="0.43307086614173201" top="0.74803149606299202" bottom="0.74803149606299202" header="0.31496062992126" footer="0.31496062992126"/>
  <pageSetup paperSize="9" scale="92" orientation="portrait" r:id="rId2"/>
  <headerFooter>
    <oddFooter>&amp;LVer 4.1&amp;RFor National Insurance Use Only</oddFooter>
  </headerFooter>
</worksheet>
</file>

<file path=xl/worksheets/sheet12.xml><?xml version="1.0" encoding="utf-8"?>
<worksheet xmlns="http://schemas.openxmlformats.org/spreadsheetml/2006/main" xmlns:r="http://schemas.openxmlformats.org/officeDocument/2006/relationships">
  <sheetPr codeName="Sheet12"/>
  <dimension ref="A1:O30"/>
  <sheetViews>
    <sheetView workbookViewId="0">
      <selection activeCell="F30" sqref="F30"/>
    </sheetView>
  </sheetViews>
  <sheetFormatPr defaultRowHeight="15"/>
  <cols>
    <col min="2" max="2" width="28" bestFit="1" customWidth="1"/>
    <col min="3" max="3" width="88" bestFit="1" customWidth="1"/>
    <col min="4" max="4" width="15.140625" style="382" bestFit="1" customWidth="1"/>
    <col min="5" max="5" width="18.5703125" style="382" bestFit="1" customWidth="1"/>
    <col min="6" max="6" width="31.42578125" customWidth="1"/>
    <col min="7" max="7" width="24" style="382" customWidth="1"/>
    <col min="8" max="8" width="18.85546875" style="382" customWidth="1"/>
    <col min="9" max="9" width="13.42578125" style="387" bestFit="1" customWidth="1"/>
    <col min="10" max="10" width="19.42578125" style="382" bestFit="1" customWidth="1"/>
    <col min="11" max="11" width="29.140625" bestFit="1" customWidth="1"/>
    <col min="12" max="12" width="13.140625" bestFit="1" customWidth="1"/>
    <col min="13" max="13" width="17.28515625" style="392" bestFit="1" customWidth="1"/>
    <col min="14" max="14" width="13.140625" bestFit="1" customWidth="1"/>
  </cols>
  <sheetData>
    <row r="1" spans="1:15">
      <c r="A1" s="252" t="s">
        <v>304</v>
      </c>
      <c r="B1" s="252" t="s">
        <v>126</v>
      </c>
      <c r="C1" s="252" t="s">
        <v>157</v>
      </c>
      <c r="D1" s="252" t="s">
        <v>37</v>
      </c>
      <c r="E1" s="252" t="s">
        <v>41</v>
      </c>
      <c r="F1" s="252" t="s">
        <v>38</v>
      </c>
      <c r="G1" s="252" t="s">
        <v>42</v>
      </c>
      <c r="H1" s="252" t="s">
        <v>635</v>
      </c>
      <c r="I1" s="386" t="s">
        <v>36</v>
      </c>
      <c r="J1" s="252" t="s">
        <v>606</v>
      </c>
      <c r="K1" s="252" t="s">
        <v>607</v>
      </c>
      <c r="L1" s="252" t="s">
        <v>178</v>
      </c>
      <c r="M1" s="253" t="s">
        <v>176</v>
      </c>
      <c r="N1" s="252" t="s">
        <v>177</v>
      </c>
      <c r="O1" s="775" t="s">
        <v>803</v>
      </c>
    </row>
    <row r="2" spans="1:15">
      <c r="A2" s="249">
        <v>1</v>
      </c>
      <c r="B2" s="248" t="s">
        <v>286</v>
      </c>
      <c r="C2" s="248" t="s">
        <v>353</v>
      </c>
      <c r="D2" s="249">
        <v>9835240141</v>
      </c>
      <c r="E2" s="249"/>
      <c r="F2" s="248" t="s">
        <v>352</v>
      </c>
      <c r="G2" s="249">
        <v>43409</v>
      </c>
      <c r="H2" s="249" t="s">
        <v>671</v>
      </c>
      <c r="I2" s="250">
        <v>43344</v>
      </c>
      <c r="J2" s="250" t="s">
        <v>582</v>
      </c>
      <c r="K2" s="248" t="s">
        <v>596</v>
      </c>
      <c r="L2" s="248" t="s">
        <v>420</v>
      </c>
      <c r="M2" s="391">
        <v>10749091506</v>
      </c>
      <c r="N2" s="248" t="s">
        <v>421</v>
      </c>
      <c r="O2" s="248"/>
    </row>
    <row r="3" spans="1:15">
      <c r="A3" s="249">
        <v>2</v>
      </c>
      <c r="B3" s="248" t="s">
        <v>287</v>
      </c>
      <c r="C3" s="248" t="s">
        <v>320</v>
      </c>
      <c r="D3" s="249">
        <v>9334784485</v>
      </c>
      <c r="E3" s="249">
        <v>6122284485</v>
      </c>
      <c r="F3" s="248" t="s">
        <v>317</v>
      </c>
      <c r="G3" s="249">
        <v>6597</v>
      </c>
      <c r="H3" s="249" t="s">
        <v>636</v>
      </c>
      <c r="I3" s="250">
        <v>43116</v>
      </c>
      <c r="J3" s="250" t="s">
        <v>591</v>
      </c>
      <c r="K3" s="248" t="s">
        <v>597</v>
      </c>
      <c r="L3" s="248" t="s">
        <v>318</v>
      </c>
      <c r="M3" s="391">
        <v>537708116</v>
      </c>
      <c r="N3" s="248" t="s">
        <v>319</v>
      </c>
      <c r="O3" s="248"/>
    </row>
    <row r="4" spans="1:15">
      <c r="A4" s="249">
        <v>3</v>
      </c>
      <c r="B4" s="248" t="s">
        <v>284</v>
      </c>
      <c r="C4" s="248" t="s">
        <v>305</v>
      </c>
      <c r="D4" s="249">
        <v>9835093602</v>
      </c>
      <c r="E4" s="249">
        <v>9431040529</v>
      </c>
      <c r="F4" s="251" t="s">
        <v>285</v>
      </c>
      <c r="G4" s="249">
        <v>36915</v>
      </c>
      <c r="H4" s="249" t="s">
        <v>672</v>
      </c>
      <c r="I4" s="250">
        <v>42859</v>
      </c>
      <c r="J4" s="250" t="s">
        <v>582</v>
      </c>
      <c r="K4" s="248" t="s">
        <v>598</v>
      </c>
      <c r="L4" s="248" t="s">
        <v>302</v>
      </c>
      <c r="M4" s="391">
        <v>10498107511</v>
      </c>
      <c r="N4" s="248" t="s">
        <v>303</v>
      </c>
      <c r="O4" s="248"/>
    </row>
    <row r="5" spans="1:15">
      <c r="A5" s="249">
        <v>4</v>
      </c>
      <c r="B5" s="248" t="s">
        <v>627</v>
      </c>
      <c r="C5" s="248" t="s">
        <v>628</v>
      </c>
      <c r="D5" s="249">
        <v>9835461746</v>
      </c>
      <c r="E5" s="249">
        <v>9905246796</v>
      </c>
      <c r="F5" s="251" t="s">
        <v>629</v>
      </c>
      <c r="G5" s="249" t="s">
        <v>804</v>
      </c>
      <c r="H5" s="249" t="s">
        <v>801</v>
      </c>
      <c r="I5" s="250">
        <v>45128</v>
      </c>
      <c r="J5" s="250" t="s">
        <v>630</v>
      </c>
      <c r="K5" s="248" t="s">
        <v>631</v>
      </c>
      <c r="L5" s="248" t="s">
        <v>632</v>
      </c>
      <c r="M5" s="393" t="s">
        <v>633</v>
      </c>
      <c r="N5" s="248" t="s">
        <v>634</v>
      </c>
      <c r="O5" s="248">
        <v>95305303</v>
      </c>
    </row>
    <row r="6" spans="1:15">
      <c r="A6" s="249">
        <v>5</v>
      </c>
      <c r="B6" s="248" t="s">
        <v>288</v>
      </c>
      <c r="C6" s="248" t="s">
        <v>351</v>
      </c>
      <c r="D6" s="249">
        <v>9835089586</v>
      </c>
      <c r="E6" s="249"/>
      <c r="F6" s="248" t="s">
        <v>350</v>
      </c>
      <c r="G6" s="249">
        <v>33583</v>
      </c>
      <c r="H6" s="249" t="s">
        <v>636</v>
      </c>
      <c r="I6" s="250">
        <v>42609</v>
      </c>
      <c r="J6" s="250"/>
      <c r="K6" s="248"/>
      <c r="L6" s="248"/>
      <c r="M6" s="391"/>
      <c r="N6" s="248"/>
      <c r="O6" s="248"/>
    </row>
    <row r="7" spans="1:15">
      <c r="A7" s="249">
        <v>6</v>
      </c>
      <c r="B7" s="248" t="s">
        <v>289</v>
      </c>
      <c r="C7" s="248" t="s">
        <v>349</v>
      </c>
      <c r="D7" s="249">
        <v>9835289661</v>
      </c>
      <c r="E7" s="249" t="s">
        <v>416</v>
      </c>
      <c r="F7" s="251" t="s">
        <v>623</v>
      </c>
      <c r="G7" s="249">
        <v>47276</v>
      </c>
      <c r="H7" s="249" t="s">
        <v>636</v>
      </c>
      <c r="I7" s="250">
        <v>43623</v>
      </c>
      <c r="J7" s="250" t="s">
        <v>582</v>
      </c>
      <c r="K7" s="248" t="s">
        <v>599</v>
      </c>
      <c r="L7" s="248" t="s">
        <v>415</v>
      </c>
      <c r="M7" s="391">
        <v>10076879792</v>
      </c>
      <c r="N7" s="248" t="s">
        <v>414</v>
      </c>
      <c r="O7" s="248"/>
    </row>
    <row r="8" spans="1:15">
      <c r="A8" s="249">
        <v>7</v>
      </c>
      <c r="B8" s="248" t="s">
        <v>290</v>
      </c>
      <c r="C8" s="248" t="s">
        <v>348</v>
      </c>
      <c r="D8" s="249">
        <v>9835097356</v>
      </c>
      <c r="E8" s="249">
        <v>9431647242</v>
      </c>
      <c r="F8" s="248" t="s">
        <v>347</v>
      </c>
      <c r="G8" s="249">
        <v>52734</v>
      </c>
      <c r="H8" s="249" t="s">
        <v>636</v>
      </c>
      <c r="I8" s="250">
        <v>44116</v>
      </c>
      <c r="J8" s="250" t="s">
        <v>582</v>
      </c>
      <c r="K8" s="248" t="s">
        <v>600</v>
      </c>
      <c r="L8" s="248" t="s">
        <v>517</v>
      </c>
      <c r="M8" s="391">
        <v>10633807192</v>
      </c>
      <c r="N8" s="248" t="s">
        <v>520</v>
      </c>
      <c r="O8" s="248"/>
    </row>
    <row r="9" spans="1:15">
      <c r="A9" s="249">
        <v>8</v>
      </c>
      <c r="B9" s="248" t="s">
        <v>291</v>
      </c>
      <c r="C9" s="248" t="s">
        <v>345</v>
      </c>
      <c r="D9" s="249">
        <v>9334536429</v>
      </c>
      <c r="E9" s="249">
        <v>8084768283</v>
      </c>
      <c r="F9" s="248" t="s">
        <v>346</v>
      </c>
      <c r="G9" s="249">
        <v>47434</v>
      </c>
      <c r="H9" s="249" t="s">
        <v>636</v>
      </c>
      <c r="I9" s="250">
        <v>43637</v>
      </c>
      <c r="J9" s="250" t="s">
        <v>595</v>
      </c>
      <c r="K9" s="248" t="s">
        <v>599</v>
      </c>
      <c r="L9" s="248" t="s">
        <v>521</v>
      </c>
      <c r="M9" s="391">
        <v>453202010004415</v>
      </c>
      <c r="N9" s="248" t="s">
        <v>413</v>
      </c>
      <c r="O9" s="248"/>
    </row>
    <row r="10" spans="1:15">
      <c r="A10" s="249">
        <v>9</v>
      </c>
      <c r="B10" s="248" t="s">
        <v>292</v>
      </c>
      <c r="C10" s="248" t="s">
        <v>315</v>
      </c>
      <c r="D10" s="249" t="s">
        <v>307</v>
      </c>
      <c r="E10" s="249" t="s">
        <v>308</v>
      </c>
      <c r="F10" s="248" t="s">
        <v>309</v>
      </c>
      <c r="G10" s="249">
        <v>36013</v>
      </c>
      <c r="H10" s="249" t="s">
        <v>636</v>
      </c>
      <c r="I10" s="250">
        <v>42791</v>
      </c>
      <c r="J10" s="250" t="s">
        <v>582</v>
      </c>
      <c r="K10" s="248" t="s">
        <v>601</v>
      </c>
      <c r="L10" s="248" t="s">
        <v>310</v>
      </c>
      <c r="M10" s="391">
        <v>10119455281</v>
      </c>
      <c r="N10" s="248" t="s">
        <v>311</v>
      </c>
      <c r="O10" s="248"/>
    </row>
    <row r="11" spans="1:15">
      <c r="A11" s="249">
        <v>10</v>
      </c>
      <c r="B11" s="248" t="s">
        <v>293</v>
      </c>
      <c r="C11" s="248" t="s">
        <v>344</v>
      </c>
      <c r="D11" s="249">
        <v>9334110636</v>
      </c>
      <c r="E11" s="249"/>
      <c r="F11" s="248" t="s">
        <v>343</v>
      </c>
      <c r="G11" s="249">
        <v>63315</v>
      </c>
      <c r="H11" s="249" t="s">
        <v>636</v>
      </c>
      <c r="I11" s="250">
        <v>43182</v>
      </c>
      <c r="J11" s="250" t="s">
        <v>582</v>
      </c>
      <c r="K11" s="248" t="s">
        <v>617</v>
      </c>
      <c r="L11" s="248" t="s">
        <v>418</v>
      </c>
      <c r="M11" s="391">
        <v>20019295926</v>
      </c>
      <c r="N11" s="248" t="s">
        <v>419</v>
      </c>
      <c r="O11" s="248"/>
    </row>
    <row r="12" spans="1:15">
      <c r="A12" s="249">
        <v>11</v>
      </c>
      <c r="B12" s="248" t="s">
        <v>568</v>
      </c>
      <c r="C12" s="368" t="s">
        <v>551</v>
      </c>
      <c r="D12" s="249">
        <v>9431624101</v>
      </c>
      <c r="E12" s="249"/>
      <c r="F12" s="248" t="s">
        <v>573</v>
      </c>
      <c r="G12" s="249">
        <v>57716</v>
      </c>
      <c r="H12" s="249" t="s">
        <v>636</v>
      </c>
      <c r="I12" s="250">
        <v>42747</v>
      </c>
      <c r="J12" s="250" t="s">
        <v>574</v>
      </c>
      <c r="K12" s="368" t="s">
        <v>580</v>
      </c>
      <c r="L12" s="248" t="s">
        <v>575</v>
      </c>
      <c r="M12" s="391" t="s">
        <v>576</v>
      </c>
      <c r="N12" s="248" t="s">
        <v>577</v>
      </c>
      <c r="O12" s="248"/>
    </row>
    <row r="13" spans="1:15">
      <c r="A13" s="249">
        <v>12</v>
      </c>
      <c r="B13" s="248" t="s">
        <v>294</v>
      </c>
      <c r="C13" s="248" t="s">
        <v>324</v>
      </c>
      <c r="D13" s="249">
        <v>9334605082</v>
      </c>
      <c r="E13" s="249"/>
      <c r="F13" s="248" t="s">
        <v>321</v>
      </c>
      <c r="G13" s="249">
        <v>72838</v>
      </c>
      <c r="H13" s="249" t="s">
        <v>636</v>
      </c>
      <c r="I13" s="250">
        <v>43699</v>
      </c>
      <c r="J13" s="250" t="s">
        <v>582</v>
      </c>
      <c r="K13" s="248" t="s">
        <v>616</v>
      </c>
      <c r="L13" s="248" t="s">
        <v>322</v>
      </c>
      <c r="M13" s="391">
        <v>10636281133</v>
      </c>
      <c r="N13" s="248" t="s">
        <v>323</v>
      </c>
      <c r="O13" s="248"/>
    </row>
    <row r="14" spans="1:15">
      <c r="A14" s="249">
        <v>13</v>
      </c>
      <c r="B14" s="248" t="s">
        <v>563</v>
      </c>
      <c r="C14" s="248" t="s">
        <v>564</v>
      </c>
      <c r="D14" s="249">
        <v>9835422098</v>
      </c>
      <c r="E14" s="249"/>
      <c r="F14" s="248"/>
      <c r="G14" s="249">
        <v>67483</v>
      </c>
      <c r="H14" s="249" t="s">
        <v>636</v>
      </c>
      <c r="I14" s="250">
        <v>43486</v>
      </c>
      <c r="J14" s="250" t="s">
        <v>582</v>
      </c>
      <c r="K14" s="248" t="s">
        <v>590</v>
      </c>
      <c r="L14" s="248" t="s">
        <v>302</v>
      </c>
      <c r="M14" s="391">
        <v>10497963391</v>
      </c>
      <c r="N14" s="248" t="s">
        <v>565</v>
      </c>
      <c r="O14" s="248"/>
    </row>
    <row r="15" spans="1:15">
      <c r="A15" s="249">
        <v>14</v>
      </c>
      <c r="B15" s="248" t="s">
        <v>569</v>
      </c>
      <c r="C15" s="368" t="s">
        <v>602</v>
      </c>
      <c r="D15" s="249">
        <v>9835422098</v>
      </c>
      <c r="E15" s="249"/>
      <c r="F15" s="248"/>
      <c r="G15" s="249">
        <v>67483</v>
      </c>
      <c r="H15" s="249" t="s">
        <v>636</v>
      </c>
      <c r="I15" s="250">
        <v>43486</v>
      </c>
      <c r="J15" s="250" t="s">
        <v>582</v>
      </c>
      <c r="K15" s="248" t="s">
        <v>551</v>
      </c>
      <c r="L15" s="248" t="s">
        <v>302</v>
      </c>
      <c r="M15" s="391">
        <v>10497963391</v>
      </c>
      <c r="N15" s="248" t="s">
        <v>565</v>
      </c>
      <c r="O15" s="248"/>
    </row>
    <row r="16" spans="1:15">
      <c r="A16" s="249">
        <v>15</v>
      </c>
      <c r="B16" s="248" t="s">
        <v>570</v>
      </c>
      <c r="C16" s="368" t="s">
        <v>603</v>
      </c>
      <c r="D16" s="249">
        <v>9334660344</v>
      </c>
      <c r="E16" s="249"/>
      <c r="F16" s="251" t="s">
        <v>626</v>
      </c>
      <c r="G16" s="249">
        <v>74881</v>
      </c>
      <c r="H16" s="249" t="s">
        <v>636</v>
      </c>
      <c r="I16" s="250">
        <v>43095</v>
      </c>
      <c r="J16" s="249" t="s">
        <v>620</v>
      </c>
      <c r="K16" s="248" t="s">
        <v>596</v>
      </c>
      <c r="L16" s="248"/>
      <c r="M16" s="393"/>
      <c r="N16" s="248"/>
      <c r="O16" s="248"/>
    </row>
    <row r="17" spans="1:15">
      <c r="A17" s="249">
        <v>16</v>
      </c>
      <c r="B17" s="248" t="s">
        <v>295</v>
      </c>
      <c r="C17" s="248" t="s">
        <v>327</v>
      </c>
      <c r="D17" s="249">
        <v>9934085231</v>
      </c>
      <c r="E17" s="249">
        <v>9523059657</v>
      </c>
      <c r="F17" s="248" t="s">
        <v>325</v>
      </c>
      <c r="G17" s="249">
        <v>70113</v>
      </c>
      <c r="H17" s="249" t="s">
        <v>636</v>
      </c>
      <c r="I17" s="250">
        <v>43593</v>
      </c>
      <c r="J17" s="250" t="s">
        <v>592</v>
      </c>
      <c r="K17" s="248" t="s">
        <v>618</v>
      </c>
      <c r="L17" s="248" t="s">
        <v>326</v>
      </c>
      <c r="M17" s="391">
        <v>1499000100054310</v>
      </c>
      <c r="N17" s="248" t="s">
        <v>328</v>
      </c>
      <c r="O17" s="248"/>
    </row>
    <row r="18" spans="1:15">
      <c r="A18" s="249">
        <v>17</v>
      </c>
      <c r="B18" s="368" t="s">
        <v>571</v>
      </c>
      <c r="C18" s="368" t="s">
        <v>604</v>
      </c>
      <c r="D18" s="249">
        <v>9430921513</v>
      </c>
      <c r="E18" s="249"/>
      <c r="F18" s="248" t="s">
        <v>581</v>
      </c>
      <c r="G18" s="249">
        <v>27485</v>
      </c>
      <c r="H18" s="249" t="s">
        <v>673</v>
      </c>
      <c r="I18" s="250">
        <v>43918</v>
      </c>
      <c r="J18" s="250" t="s">
        <v>582</v>
      </c>
      <c r="K18" s="248" t="s">
        <v>619</v>
      </c>
      <c r="L18" s="248" t="s">
        <v>583</v>
      </c>
      <c r="M18" s="391">
        <v>10151360658</v>
      </c>
      <c r="N18" s="248" t="s">
        <v>584</v>
      </c>
      <c r="O18" s="248"/>
    </row>
    <row r="19" spans="1:15">
      <c r="A19" s="249">
        <v>18</v>
      </c>
      <c r="B19" s="368" t="s">
        <v>540</v>
      </c>
      <c r="C19" s="368" t="s">
        <v>541</v>
      </c>
      <c r="D19" s="367">
        <v>9709608580</v>
      </c>
      <c r="E19" s="367"/>
      <c r="F19" s="369" t="s">
        <v>542</v>
      </c>
      <c r="G19" s="367">
        <v>58085</v>
      </c>
      <c r="H19" s="249" t="s">
        <v>636</v>
      </c>
      <c r="I19" s="250">
        <v>42777</v>
      </c>
      <c r="J19" s="250" t="s">
        <v>582</v>
      </c>
      <c r="K19" s="368" t="s">
        <v>616</v>
      </c>
      <c r="L19" s="248" t="s">
        <v>322</v>
      </c>
      <c r="M19" s="393">
        <v>10636237274</v>
      </c>
      <c r="N19" s="368" t="s">
        <v>543</v>
      </c>
      <c r="O19" s="248"/>
    </row>
    <row r="20" spans="1:15">
      <c r="A20" s="249">
        <v>19</v>
      </c>
      <c r="B20" s="248" t="s">
        <v>296</v>
      </c>
      <c r="C20" s="248" t="s">
        <v>342</v>
      </c>
      <c r="D20" s="249">
        <v>9431009640</v>
      </c>
      <c r="E20" s="249"/>
      <c r="F20" s="248" t="s">
        <v>341</v>
      </c>
      <c r="G20" s="249">
        <v>43258</v>
      </c>
      <c r="H20" s="249" t="s">
        <v>636</v>
      </c>
      <c r="I20" s="250">
        <v>43338</v>
      </c>
      <c r="J20" s="250" t="s">
        <v>586</v>
      </c>
      <c r="K20" s="248" t="s">
        <v>615</v>
      </c>
      <c r="L20" s="248" t="s">
        <v>411</v>
      </c>
      <c r="M20" s="391">
        <v>2819101002092</v>
      </c>
      <c r="N20" s="248" t="s">
        <v>412</v>
      </c>
      <c r="O20" s="248"/>
    </row>
    <row r="21" spans="1:15">
      <c r="A21" s="249">
        <v>20</v>
      </c>
      <c r="B21" s="383" t="s">
        <v>572</v>
      </c>
      <c r="C21" s="368" t="s">
        <v>605</v>
      </c>
      <c r="D21" s="388">
        <v>9835409936</v>
      </c>
      <c r="E21" s="388">
        <v>9471027900</v>
      </c>
      <c r="F21" s="248" t="s">
        <v>585</v>
      </c>
      <c r="G21" s="388">
        <v>37165</v>
      </c>
      <c r="H21" s="249" t="s">
        <v>636</v>
      </c>
      <c r="I21" s="389">
        <v>42907</v>
      </c>
      <c r="J21" s="390" t="s">
        <v>586</v>
      </c>
      <c r="K21" s="383" t="s">
        <v>587</v>
      </c>
      <c r="L21" s="383" t="s">
        <v>588</v>
      </c>
      <c r="M21" s="394">
        <v>2004101007959</v>
      </c>
      <c r="N21" s="383" t="s">
        <v>589</v>
      </c>
      <c r="O21" s="248"/>
    </row>
    <row r="22" spans="1:15">
      <c r="A22" s="249">
        <v>21</v>
      </c>
      <c r="B22" s="368" t="s">
        <v>522</v>
      </c>
      <c r="C22" s="368" t="s">
        <v>523</v>
      </c>
      <c r="D22" s="367">
        <v>9835439174</v>
      </c>
      <c r="E22" s="367">
        <v>9546109332</v>
      </c>
      <c r="F22" s="369" t="s">
        <v>524</v>
      </c>
      <c r="G22" s="367">
        <v>72510</v>
      </c>
      <c r="H22" s="249" t="s">
        <v>636</v>
      </c>
      <c r="I22" s="250">
        <v>43303</v>
      </c>
      <c r="J22" s="250" t="s">
        <v>582</v>
      </c>
      <c r="K22" s="368" t="s">
        <v>614</v>
      </c>
      <c r="L22" s="248" t="s">
        <v>532</v>
      </c>
      <c r="M22" s="393" t="s">
        <v>525</v>
      </c>
      <c r="N22" s="368" t="s">
        <v>526</v>
      </c>
      <c r="O22" s="248"/>
    </row>
    <row r="23" spans="1:15">
      <c r="A23" s="249">
        <v>22</v>
      </c>
      <c r="B23" s="248" t="s">
        <v>297</v>
      </c>
      <c r="C23" s="248" t="s">
        <v>331</v>
      </c>
      <c r="D23" s="249">
        <v>9334847220</v>
      </c>
      <c r="E23" s="249" t="s">
        <v>329</v>
      </c>
      <c r="F23" s="251" t="s">
        <v>332</v>
      </c>
      <c r="G23" s="249">
        <v>51068</v>
      </c>
      <c r="H23" s="249" t="s">
        <v>636</v>
      </c>
      <c r="I23" s="250">
        <v>43946</v>
      </c>
      <c r="J23" s="250" t="s">
        <v>609</v>
      </c>
      <c r="K23" s="248" t="s">
        <v>618</v>
      </c>
      <c r="L23" s="248" t="s">
        <v>610</v>
      </c>
      <c r="M23" s="393" t="s">
        <v>611</v>
      </c>
      <c r="N23" s="248" t="s">
        <v>330</v>
      </c>
      <c r="O23" s="248"/>
    </row>
    <row r="24" spans="1:15">
      <c r="A24" s="249">
        <v>23</v>
      </c>
      <c r="B24" s="248" t="s">
        <v>688</v>
      </c>
      <c r="C24" s="248" t="s">
        <v>689</v>
      </c>
      <c r="D24" s="249">
        <v>9835015327</v>
      </c>
      <c r="E24" s="249">
        <v>9304768851</v>
      </c>
      <c r="F24" s="251" t="s">
        <v>690</v>
      </c>
      <c r="G24" s="249">
        <v>26403</v>
      </c>
      <c r="H24" s="249" t="s">
        <v>636</v>
      </c>
      <c r="I24" s="250">
        <v>43813</v>
      </c>
      <c r="J24" s="250" t="s">
        <v>691</v>
      </c>
      <c r="K24" s="248" t="s">
        <v>692</v>
      </c>
      <c r="L24" s="248" t="s">
        <v>693</v>
      </c>
      <c r="M24" s="393">
        <v>453202010005804</v>
      </c>
      <c r="N24" s="248" t="s">
        <v>694</v>
      </c>
      <c r="O24" s="248"/>
    </row>
    <row r="25" spans="1:15">
      <c r="A25" s="249">
        <v>24</v>
      </c>
      <c r="B25" s="248" t="s">
        <v>298</v>
      </c>
      <c r="C25" s="248" t="s">
        <v>339</v>
      </c>
      <c r="D25" s="249">
        <v>9835024275</v>
      </c>
      <c r="E25" s="249">
        <v>9939088499</v>
      </c>
      <c r="F25" s="248" t="s">
        <v>340</v>
      </c>
      <c r="G25" s="249">
        <v>25736</v>
      </c>
      <c r="H25" s="249" t="s">
        <v>636</v>
      </c>
      <c r="I25" s="250">
        <v>43760</v>
      </c>
      <c r="J25" s="250" t="s">
        <v>582</v>
      </c>
      <c r="K25" s="248" t="s">
        <v>618</v>
      </c>
      <c r="L25" s="248" t="s">
        <v>518</v>
      </c>
      <c r="M25" s="391">
        <v>30297480856</v>
      </c>
      <c r="N25" s="248" t="s">
        <v>519</v>
      </c>
      <c r="O25" s="248"/>
    </row>
    <row r="26" spans="1:15">
      <c r="A26" s="249">
        <v>25</v>
      </c>
      <c r="B26" s="248" t="s">
        <v>696</v>
      </c>
      <c r="C26" s="248" t="s">
        <v>697</v>
      </c>
      <c r="D26" s="249">
        <v>9431017033</v>
      </c>
      <c r="E26" s="249"/>
      <c r="F26" s="248" t="s">
        <v>698</v>
      </c>
      <c r="G26" s="249">
        <v>31805</v>
      </c>
      <c r="H26" s="249" t="s">
        <v>636</v>
      </c>
      <c r="I26" s="250">
        <v>43555</v>
      </c>
      <c r="J26" s="250" t="s">
        <v>593</v>
      </c>
      <c r="K26" s="248"/>
      <c r="L26" s="248" t="s">
        <v>699</v>
      </c>
      <c r="M26" s="393" t="s">
        <v>700</v>
      </c>
      <c r="N26" s="248" t="s">
        <v>701</v>
      </c>
      <c r="O26" s="248"/>
    </row>
    <row r="27" spans="1:15">
      <c r="A27" s="249">
        <v>26</v>
      </c>
      <c r="B27" s="248" t="s">
        <v>299</v>
      </c>
      <c r="C27" s="248" t="s">
        <v>334</v>
      </c>
      <c r="D27" s="249">
        <v>9431093209</v>
      </c>
      <c r="E27" s="249">
        <v>9835015428</v>
      </c>
      <c r="F27" s="248" t="s">
        <v>333</v>
      </c>
      <c r="G27" s="249">
        <v>37151</v>
      </c>
      <c r="H27" s="249" t="s">
        <v>636</v>
      </c>
      <c r="I27" s="250">
        <v>42914</v>
      </c>
      <c r="J27" s="250" t="s">
        <v>620</v>
      </c>
      <c r="K27" s="248" t="s">
        <v>613</v>
      </c>
      <c r="L27" s="248" t="s">
        <v>422</v>
      </c>
      <c r="M27" s="393" t="s">
        <v>423</v>
      </c>
      <c r="N27" s="248" t="s">
        <v>424</v>
      </c>
      <c r="O27" s="248"/>
    </row>
    <row r="28" spans="1:15">
      <c r="A28" s="249">
        <v>27</v>
      </c>
      <c r="B28" s="248" t="s">
        <v>300</v>
      </c>
      <c r="C28" s="248" t="s">
        <v>316</v>
      </c>
      <c r="D28" s="249">
        <v>9835262161</v>
      </c>
      <c r="E28" s="249">
        <v>9801640402</v>
      </c>
      <c r="F28" s="248" t="s">
        <v>312</v>
      </c>
      <c r="G28" s="249">
        <v>63836</v>
      </c>
      <c r="H28" s="249" t="s">
        <v>636</v>
      </c>
      <c r="I28" s="250">
        <v>43220</v>
      </c>
      <c r="J28" s="250" t="s">
        <v>593</v>
      </c>
      <c r="K28" s="248" t="s">
        <v>618</v>
      </c>
      <c r="L28" s="248" t="s">
        <v>313</v>
      </c>
      <c r="M28" s="391">
        <v>65104000045827</v>
      </c>
      <c r="N28" s="248" t="s">
        <v>314</v>
      </c>
      <c r="O28" s="248"/>
    </row>
    <row r="29" spans="1:15">
      <c r="A29" s="249">
        <v>28</v>
      </c>
      <c r="B29" s="248" t="s">
        <v>301</v>
      </c>
      <c r="C29" s="248" t="s">
        <v>338</v>
      </c>
      <c r="D29" s="249">
        <v>9431860149</v>
      </c>
      <c r="E29" s="249">
        <v>2361422</v>
      </c>
      <c r="F29" s="248" t="s">
        <v>335</v>
      </c>
      <c r="G29" s="249">
        <v>27819</v>
      </c>
      <c r="H29" s="249" t="s">
        <v>636</v>
      </c>
      <c r="I29" s="250">
        <v>43453</v>
      </c>
      <c r="J29" s="250" t="s">
        <v>594</v>
      </c>
      <c r="K29" s="248" t="s">
        <v>612</v>
      </c>
      <c r="L29" s="248" t="s">
        <v>336</v>
      </c>
      <c r="M29" s="393" t="s">
        <v>417</v>
      </c>
      <c r="N29" s="248" t="s">
        <v>337</v>
      </c>
      <c r="O29" s="248"/>
    </row>
    <row r="30" spans="1:15">
      <c r="A30" s="249">
        <v>28</v>
      </c>
      <c r="B30" s="368" t="s">
        <v>269</v>
      </c>
      <c r="C30" s="368" t="s">
        <v>544</v>
      </c>
      <c r="D30" s="249"/>
      <c r="E30" s="249"/>
      <c r="F30" s="248"/>
      <c r="G30" s="249"/>
      <c r="H30" s="249" t="s">
        <v>636</v>
      </c>
      <c r="I30" s="250"/>
      <c r="J30" s="249"/>
      <c r="K30" s="248"/>
      <c r="L30" s="248"/>
      <c r="M30" s="391"/>
      <c r="N30" s="248"/>
    </row>
  </sheetData>
  <sortState ref="B12:L22">
    <sortCondition ref="B12:B22"/>
  </sortState>
  <hyperlinks>
    <hyperlink ref="F4" r:id="rId1"/>
    <hyperlink ref="F23" r:id="rId2"/>
    <hyperlink ref="F22" r:id="rId3"/>
    <hyperlink ref="F19" r:id="rId4"/>
    <hyperlink ref="F21" r:id="rId5"/>
    <hyperlink ref="F7" r:id="rId6"/>
    <hyperlink ref="F16" r:id="rId7"/>
    <hyperlink ref="F5" r:id="rId8"/>
    <hyperlink ref="F24"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Instruction Sheet</vt:lpstr>
      <vt:lpstr>Checlikst</vt:lpstr>
      <vt:lpstr>Delivery Order</vt:lpstr>
      <vt:lpstr>Data Entry</vt:lpstr>
      <vt:lpstr>Status Report</vt:lpstr>
      <vt:lpstr>Processing Sheet</vt:lpstr>
      <vt:lpstr>Surveyor Fee</vt:lpstr>
      <vt:lpstr>Main Survey Report</vt:lpstr>
      <vt:lpstr>Assessment Sheet</vt:lpstr>
      <vt:lpstr>2022- Maruti Painting Dashboard</vt:lpstr>
      <vt:lpstr>Re-inspection Report</vt:lpstr>
      <vt:lpstr>Surveyor's Master</vt:lpstr>
      <vt:lpstr>'2022- Maruti Painting Dashboard'!Print_Area</vt:lpstr>
      <vt:lpstr>'Assessment Sheet'!Print_Area</vt:lpstr>
      <vt:lpstr>'Delivery Order'!Print_Area</vt:lpstr>
      <vt:lpstr>'Main Survey Report'!Print_Area</vt:lpstr>
      <vt:lpstr>'Processing Sheet'!Print_Area</vt:lpstr>
      <vt:lpstr>'Re-inspection Report'!Print_Area</vt:lpstr>
      <vt:lpstr>'Status Report'!Print_Area</vt:lpstr>
      <vt:lpstr>'Surveyor Fee'!Print_Area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K Sinha 71409</dc:creator>
  <cp:lastModifiedBy>DILIP</cp:lastModifiedBy>
  <cp:lastPrinted>2022-11-30T10:21:28Z</cp:lastPrinted>
  <dcterms:created xsi:type="dcterms:W3CDTF">2013-02-22T07:08:45Z</dcterms:created>
  <dcterms:modified xsi:type="dcterms:W3CDTF">2026-04-25T18:22:32Z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3d9c9b6d-70b3-49f6-b61d-2bd278adabbb</vt:lpwstr>
  </property>
  <property fmtid="{D5CDD505-2E9C-101B-9397-08002B2CF9AE}" pid="3" name="Classification">
    <vt:lpwstr>NIC_PUBL1C</vt:lpwstr>
  </property>
</Properties>
</file>